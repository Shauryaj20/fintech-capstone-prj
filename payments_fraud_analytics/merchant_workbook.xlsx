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ur\Desktop\Shaurya\SJ\Fintech AI course\fintech-capstone-prj\payments_fraud_analytics\"/>
    </mc:Choice>
  </mc:AlternateContent>
  <xr:revisionPtr revIDLastSave="0" documentId="13_ncr:9_{0E9CA7E8-0666-4D7B-BACE-2B568B820A94}" xr6:coauthVersionLast="47" xr6:coauthVersionMax="47" xr10:uidLastSave="{00000000-0000-0000-0000-000000000000}"/>
  <bookViews>
    <workbookView xWindow="-108" yWindow="-108" windowWidth="23256" windowHeight="12456" activeTab="1" xr2:uid="{0FFF889F-24A1-4211-B886-BB8A0610FBB8}"/>
  </bookViews>
  <sheets>
    <sheet name="Daily_Analysis" sheetId="5" r:id="rId1"/>
    <sheet name="Status_Summary" sheetId="8" r:id="rId2"/>
    <sheet name="ledger" sheetId="4" r:id="rId3"/>
    <sheet name="merchants" sheetId="3" r:id="rId4"/>
    <sheet name="fee_reference" sheetId="2" r:id="rId5"/>
  </sheets>
  <definedNames>
    <definedName name="ExternalData_1" localSheetId="2" hidden="1">ledger!$A$1:$L$548</definedName>
    <definedName name="ExternalData_1" localSheetId="3" hidden="1">merchants!$A$1:$D$41</definedName>
  </definedNames>
  <calcPr calcId="0"/>
  <pivotCaches>
    <pivotCache cacheId="27" r:id="rId6"/>
  </pivotCaches>
</workbook>
</file>

<file path=xl/calcChain.xml><?xml version="1.0" encoding="utf-8"?>
<calcChain xmlns="http://schemas.openxmlformats.org/spreadsheetml/2006/main">
  <c r="E5" i="5" l="1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" i="5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D2" i="4"/>
  <c r="D3" i="4"/>
  <c r="D4" i="4"/>
  <c r="M4" i="4" s="1"/>
  <c r="D5" i="4"/>
  <c r="M5" i="4" s="1"/>
  <c r="D6" i="4"/>
  <c r="D7" i="4"/>
  <c r="M7" i="4" s="1"/>
  <c r="D8" i="4"/>
  <c r="M8" i="4" s="1"/>
  <c r="D9" i="4"/>
  <c r="M9" i="4" s="1"/>
  <c r="D10" i="4"/>
  <c r="M10" i="4" s="1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M26" i="4" s="1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M42" i="4" s="1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M58" i="4" s="1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M74" i="4" s="1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M90" i="4" s="1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M122" i="4" s="1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M138" i="4" s="1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M360" i="4" l="1"/>
  <c r="M510" i="4"/>
  <c r="M430" i="4"/>
  <c r="M334" i="4"/>
  <c r="M222" i="4"/>
  <c r="M46" i="4"/>
  <c r="M542" i="4"/>
  <c r="M478" i="4"/>
  <c r="M446" i="4"/>
  <c r="M398" i="4"/>
  <c r="M366" i="4"/>
  <c r="M318" i="4"/>
  <c r="M286" i="4"/>
  <c r="M254" i="4"/>
  <c r="M206" i="4"/>
  <c r="M174" i="4"/>
  <c r="M142" i="4"/>
  <c r="M110" i="4"/>
  <c r="M78" i="4"/>
  <c r="M30" i="4"/>
  <c r="M253" i="4"/>
  <c r="M237" i="4"/>
  <c r="M221" i="4"/>
  <c r="M205" i="4"/>
  <c r="M189" i="4"/>
  <c r="M173" i="4"/>
  <c r="M157" i="4"/>
  <c r="M141" i="4"/>
  <c r="M125" i="4"/>
  <c r="M109" i="4"/>
  <c r="M93" i="4"/>
  <c r="M77" i="4"/>
  <c r="M61" i="4"/>
  <c r="M45" i="4"/>
  <c r="M29" i="4"/>
  <c r="M13" i="4"/>
  <c r="M106" i="4"/>
  <c r="M526" i="4"/>
  <c r="M494" i="4"/>
  <c r="M462" i="4"/>
  <c r="M414" i="4"/>
  <c r="M382" i="4"/>
  <c r="M350" i="4"/>
  <c r="M302" i="4"/>
  <c r="M270" i="4"/>
  <c r="M238" i="4"/>
  <c r="M190" i="4"/>
  <c r="M158" i="4"/>
  <c r="M126" i="4"/>
  <c r="M94" i="4"/>
  <c r="M62" i="4"/>
  <c r="M14" i="4"/>
  <c r="M12" i="4"/>
  <c r="M11" i="4"/>
  <c r="M445" i="4"/>
  <c r="M285" i="4"/>
  <c r="M528" i="4"/>
  <c r="M496" i="4"/>
  <c r="M464" i="4"/>
  <c r="M432" i="4"/>
  <c r="M400" i="4"/>
  <c r="M384" i="4"/>
  <c r="M368" i="4"/>
  <c r="M352" i="4"/>
  <c r="M336" i="4"/>
  <c r="M320" i="4"/>
  <c r="M304" i="4"/>
  <c r="M288" i="4"/>
  <c r="M272" i="4"/>
  <c r="M256" i="4"/>
  <c r="M240" i="4"/>
  <c r="M224" i="4"/>
  <c r="M208" i="4"/>
  <c r="M192" i="4"/>
  <c r="M176" i="4"/>
  <c r="M160" i="4"/>
  <c r="M144" i="4"/>
  <c r="M128" i="4"/>
  <c r="M112" i="4"/>
  <c r="M96" i="4"/>
  <c r="M80" i="4"/>
  <c r="M64" i="4"/>
  <c r="M48" i="4"/>
  <c r="M32" i="4"/>
  <c r="M16" i="4"/>
  <c r="M460" i="4"/>
  <c r="M349" i="4"/>
  <c r="M544" i="4"/>
  <c r="M512" i="4"/>
  <c r="M480" i="4"/>
  <c r="M448" i="4"/>
  <c r="M416" i="4"/>
  <c r="M543" i="4"/>
  <c r="M527" i="4"/>
  <c r="M511" i="4"/>
  <c r="M495" i="4"/>
  <c r="M479" i="4"/>
  <c r="M463" i="4"/>
  <c r="M447" i="4"/>
  <c r="M431" i="4"/>
  <c r="M415" i="4"/>
  <c r="M399" i="4"/>
  <c r="M383" i="4"/>
  <c r="M367" i="4"/>
  <c r="M351" i="4"/>
  <c r="M335" i="4"/>
  <c r="M319" i="4"/>
  <c r="M303" i="4"/>
  <c r="M287" i="4"/>
  <c r="M271" i="4"/>
  <c r="M255" i="4"/>
  <c r="M239" i="4"/>
  <c r="M223" i="4"/>
  <c r="M207" i="4"/>
  <c r="M191" i="4"/>
  <c r="M175" i="4"/>
  <c r="M159" i="4"/>
  <c r="M143" i="4"/>
  <c r="M127" i="4"/>
  <c r="M111" i="4"/>
  <c r="M95" i="4"/>
  <c r="M79" i="4"/>
  <c r="M63" i="4"/>
  <c r="M47" i="4"/>
  <c r="M31" i="4"/>
  <c r="M15" i="4"/>
  <c r="M456" i="4"/>
  <c r="M444" i="4"/>
  <c r="M525" i="4"/>
  <c r="M413" i="4"/>
  <c r="M333" i="4"/>
  <c r="M428" i="4"/>
  <c r="M538" i="4"/>
  <c r="M458" i="4"/>
  <c r="M394" i="4"/>
  <c r="M298" i="4"/>
  <c r="M250" i="4"/>
  <c r="M186" i="4"/>
  <c r="M412" i="4"/>
  <c r="M408" i="4"/>
  <c r="M396" i="4"/>
  <c r="M520" i="4"/>
  <c r="M392" i="4"/>
  <c r="M534" i="4"/>
  <c r="M518" i="4"/>
  <c r="M502" i="4"/>
  <c r="M486" i="4"/>
  <c r="M470" i="4"/>
  <c r="M454" i="4"/>
  <c r="M438" i="4"/>
  <c r="M422" i="4"/>
  <c r="M406" i="4"/>
  <c r="M390" i="4"/>
  <c r="M374" i="4"/>
  <c r="M358" i="4"/>
  <c r="M342" i="4"/>
  <c r="M326" i="4"/>
  <c r="M310" i="4"/>
  <c r="M294" i="4"/>
  <c r="M278" i="4"/>
  <c r="M262" i="4"/>
  <c r="M246" i="4"/>
  <c r="M230" i="4"/>
  <c r="M214" i="4"/>
  <c r="M198" i="4"/>
  <c r="M182" i="4"/>
  <c r="M166" i="4"/>
  <c r="M150" i="4"/>
  <c r="M134" i="4"/>
  <c r="M118" i="4"/>
  <c r="M102" i="4"/>
  <c r="M86" i="4"/>
  <c r="M70" i="4"/>
  <c r="M54" i="4"/>
  <c r="M38" i="4"/>
  <c r="M22" i="4"/>
  <c r="M6" i="4"/>
  <c r="M508" i="4"/>
  <c r="M380" i="4"/>
  <c r="M429" i="4"/>
  <c r="M506" i="4"/>
  <c r="M362" i="4"/>
  <c r="M234" i="4"/>
  <c r="M517" i="4"/>
  <c r="M453" i="4"/>
  <c r="M373" i="4"/>
  <c r="M293" i="4"/>
  <c r="M229" i="4"/>
  <c r="M165" i="4"/>
  <c r="M117" i="4"/>
  <c r="M69" i="4"/>
  <c r="M376" i="4"/>
  <c r="M461" i="4"/>
  <c r="M317" i="4"/>
  <c r="M442" i="4"/>
  <c r="M330" i="4"/>
  <c r="M501" i="4"/>
  <c r="M437" i="4"/>
  <c r="M389" i="4"/>
  <c r="M325" i="4"/>
  <c r="M261" i="4"/>
  <c r="M181" i="4"/>
  <c r="M37" i="4"/>
  <c r="M364" i="4"/>
  <c r="M493" i="4"/>
  <c r="M397" i="4"/>
  <c r="M301" i="4"/>
  <c r="M440" i="4"/>
  <c r="M424" i="4"/>
  <c r="M474" i="4"/>
  <c r="M410" i="4"/>
  <c r="M314" i="4"/>
  <c r="M266" i="4"/>
  <c r="M202" i="4"/>
  <c r="M154" i="4"/>
  <c r="M540" i="4"/>
  <c r="M524" i="4"/>
  <c r="M533" i="4"/>
  <c r="M485" i="4"/>
  <c r="M469" i="4"/>
  <c r="M421" i="4"/>
  <c r="M405" i="4"/>
  <c r="M357" i="4"/>
  <c r="M341" i="4"/>
  <c r="M309" i="4"/>
  <c r="M277" i="4"/>
  <c r="M245" i="4"/>
  <c r="M213" i="4"/>
  <c r="M197" i="4"/>
  <c r="M149" i="4"/>
  <c r="M133" i="4"/>
  <c r="M101" i="4"/>
  <c r="M85" i="4"/>
  <c r="M53" i="4"/>
  <c r="M21" i="4"/>
  <c r="M504" i="4"/>
  <c r="M492" i="4"/>
  <c r="M547" i="4"/>
  <c r="M531" i="4"/>
  <c r="M515" i="4"/>
  <c r="M499" i="4"/>
  <c r="M483" i="4"/>
  <c r="M467" i="4"/>
  <c r="M451" i="4"/>
  <c r="M435" i="4"/>
  <c r="M419" i="4"/>
  <c r="M403" i="4"/>
  <c r="M387" i="4"/>
  <c r="M371" i="4"/>
  <c r="M355" i="4"/>
  <c r="M339" i="4"/>
  <c r="M323" i="4"/>
  <c r="M307" i="4"/>
  <c r="M291" i="4"/>
  <c r="M275" i="4"/>
  <c r="M259" i="4"/>
  <c r="M243" i="4"/>
  <c r="M227" i="4"/>
  <c r="M211" i="4"/>
  <c r="M195" i="4"/>
  <c r="M179" i="4"/>
  <c r="M163" i="4"/>
  <c r="M147" i="4"/>
  <c r="M131" i="4"/>
  <c r="M115" i="4"/>
  <c r="M99" i="4"/>
  <c r="M83" i="4"/>
  <c r="M67" i="4"/>
  <c r="M51" i="4"/>
  <c r="M35" i="4"/>
  <c r="M19" i="4"/>
  <c r="M3" i="4"/>
  <c r="M488" i="4"/>
  <c r="M541" i="4"/>
  <c r="M477" i="4"/>
  <c r="M381" i="4"/>
  <c r="M269" i="4"/>
  <c r="M522" i="4"/>
  <c r="M426" i="4"/>
  <c r="M346" i="4"/>
  <c r="M282" i="4"/>
  <c r="M218" i="4"/>
  <c r="M170" i="4"/>
  <c r="M536" i="4"/>
  <c r="M546" i="4"/>
  <c r="M514" i="4"/>
  <c r="M482" i="4"/>
  <c r="M450" i="4"/>
  <c r="M418" i="4"/>
  <c r="M98" i="4"/>
  <c r="M82" i="4"/>
  <c r="M66" i="4"/>
  <c r="M50" i="4"/>
  <c r="M34" i="4"/>
  <c r="M18" i="4"/>
  <c r="M2" i="4"/>
  <c r="M100" i="4"/>
  <c r="M84" i="4"/>
  <c r="M20" i="4"/>
  <c r="M148" i="4"/>
  <c r="M180" i="4"/>
  <c r="M196" i="4"/>
  <c r="M212" i="4"/>
  <c r="M228" i="4"/>
  <c r="M260" i="4"/>
  <c r="M292" i="4"/>
  <c r="M324" i="4"/>
  <c r="M356" i="4"/>
  <c r="M388" i="4"/>
  <c r="M420" i="4"/>
  <c r="M452" i="4"/>
  <c r="M484" i="4"/>
  <c r="M516" i="4"/>
  <c r="M183" i="4"/>
  <c r="M295" i="4"/>
  <c r="M343" i="4"/>
  <c r="M391" i="4"/>
  <c r="M439" i="4"/>
  <c r="M487" i="4"/>
  <c r="M535" i="4"/>
  <c r="M56" i="4"/>
  <c r="M152" i="4"/>
  <c r="M184" i="4"/>
  <c r="M216" i="4"/>
  <c r="M248" i="4"/>
  <c r="M280" i="4"/>
  <c r="M296" i="4"/>
  <c r="M328" i="4"/>
  <c r="M39" i="4"/>
  <c r="M71" i="4"/>
  <c r="M87" i="4"/>
  <c r="M119" i="4"/>
  <c r="M135" i="4"/>
  <c r="M151" i="4"/>
  <c r="M167" i="4"/>
  <c r="M215" i="4"/>
  <c r="M247" i="4"/>
  <c r="M263" i="4"/>
  <c r="M327" i="4"/>
  <c r="M407" i="4"/>
  <c r="M503" i="4"/>
  <c r="M88" i="4"/>
  <c r="M55" i="4"/>
  <c r="M103" i="4"/>
  <c r="M231" i="4"/>
  <c r="M279" i="4"/>
  <c r="M359" i="4"/>
  <c r="M455" i="4"/>
  <c r="M104" i="4"/>
  <c r="M23" i="4"/>
  <c r="M24" i="4"/>
  <c r="M25" i="4"/>
  <c r="M41" i="4"/>
  <c r="M57" i="4"/>
  <c r="M73" i="4"/>
  <c r="M89" i="4"/>
  <c r="M105" i="4"/>
  <c r="M121" i="4"/>
  <c r="M137" i="4"/>
  <c r="M153" i="4"/>
  <c r="M169" i="4"/>
  <c r="M185" i="4"/>
  <c r="M201" i="4"/>
  <c r="M217" i="4"/>
  <c r="M233" i="4"/>
  <c r="M249" i="4"/>
  <c r="M265" i="4"/>
  <c r="M281" i="4"/>
  <c r="M297" i="4"/>
  <c r="M313" i="4"/>
  <c r="M329" i="4"/>
  <c r="M345" i="4"/>
  <c r="M361" i="4"/>
  <c r="M377" i="4"/>
  <c r="M393" i="4"/>
  <c r="M409" i="4"/>
  <c r="M425" i="4"/>
  <c r="M441" i="4"/>
  <c r="M457" i="4"/>
  <c r="M473" i="4"/>
  <c r="M489" i="4"/>
  <c r="M505" i="4"/>
  <c r="M521" i="4"/>
  <c r="M537" i="4"/>
  <c r="M43" i="4"/>
  <c r="M59" i="4"/>
  <c r="M75" i="4"/>
  <c r="M91" i="4"/>
  <c r="M107" i="4"/>
  <c r="M123" i="4"/>
  <c r="M139" i="4"/>
  <c r="M155" i="4"/>
  <c r="M171" i="4"/>
  <c r="M187" i="4"/>
  <c r="M203" i="4"/>
  <c r="M219" i="4"/>
  <c r="M235" i="4"/>
  <c r="M251" i="4"/>
  <c r="M267" i="4"/>
  <c r="M283" i="4"/>
  <c r="M299" i="4"/>
  <c r="M315" i="4"/>
  <c r="M331" i="4"/>
  <c r="M347" i="4"/>
  <c r="M363" i="4"/>
  <c r="M379" i="4"/>
  <c r="M395" i="4"/>
  <c r="M411" i="4"/>
  <c r="M427" i="4"/>
  <c r="M443" i="4"/>
  <c r="M459" i="4"/>
  <c r="M475" i="4"/>
  <c r="M491" i="4"/>
  <c r="M507" i="4"/>
  <c r="M523" i="4"/>
  <c r="M539" i="4"/>
  <c r="M44" i="4"/>
  <c r="M60" i="4"/>
  <c r="M76" i="4"/>
  <c r="M92" i="4"/>
  <c r="M108" i="4"/>
  <c r="M124" i="4"/>
  <c r="M140" i="4"/>
  <c r="M156" i="4"/>
  <c r="M172" i="4"/>
  <c r="M188" i="4"/>
  <c r="M204" i="4"/>
  <c r="M220" i="4"/>
  <c r="M236" i="4"/>
  <c r="M252" i="4"/>
  <c r="M268" i="4"/>
  <c r="M284" i="4"/>
  <c r="M300" i="4"/>
  <c r="M316" i="4"/>
  <c r="M332" i="4"/>
  <c r="M27" i="4"/>
  <c r="M28" i="4"/>
  <c r="M132" i="4"/>
  <c r="M164" i="4"/>
  <c r="M244" i="4"/>
  <c r="M276" i="4"/>
  <c r="M308" i="4"/>
  <c r="M340" i="4"/>
  <c r="M372" i="4"/>
  <c r="M404" i="4"/>
  <c r="M436" i="4"/>
  <c r="M468" i="4"/>
  <c r="M500" i="4"/>
  <c r="M532" i="4"/>
  <c r="M199" i="4"/>
  <c r="M311" i="4"/>
  <c r="M375" i="4"/>
  <c r="M423" i="4"/>
  <c r="M471" i="4"/>
  <c r="M519" i="4"/>
  <c r="M40" i="4"/>
  <c r="M136" i="4"/>
  <c r="M168" i="4"/>
  <c r="M200" i="4"/>
  <c r="M232" i="4"/>
  <c r="M264" i="4"/>
  <c r="M312" i="4"/>
  <c r="M344" i="4"/>
  <c r="M116" i="4"/>
  <c r="M52" i="4"/>
  <c r="M36" i="4"/>
  <c r="M68" i="4"/>
  <c r="M548" i="4"/>
  <c r="M72" i="4"/>
  <c r="M476" i="4"/>
  <c r="M348" i="4"/>
  <c r="M509" i="4"/>
  <c r="M365" i="4"/>
  <c r="M490" i="4"/>
  <c r="M378" i="4"/>
  <c r="M530" i="4"/>
  <c r="M498" i="4"/>
  <c r="M466" i="4"/>
  <c r="M434" i="4"/>
  <c r="M402" i="4"/>
  <c r="M386" i="4"/>
  <c r="M370" i="4"/>
  <c r="M354" i="4"/>
  <c r="M338" i="4"/>
  <c r="M322" i="4"/>
  <c r="M306" i="4"/>
  <c r="M290" i="4"/>
  <c r="M274" i="4"/>
  <c r="M258" i="4"/>
  <c r="M242" i="4"/>
  <c r="M226" i="4"/>
  <c r="M210" i="4"/>
  <c r="M194" i="4"/>
  <c r="M178" i="4"/>
  <c r="M162" i="4"/>
  <c r="M146" i="4"/>
  <c r="M130" i="4"/>
  <c r="M114" i="4"/>
  <c r="M545" i="4"/>
  <c r="M529" i="4"/>
  <c r="M513" i="4"/>
  <c r="M497" i="4"/>
  <c r="M481" i="4"/>
  <c r="M465" i="4"/>
  <c r="M449" i="4"/>
  <c r="M433" i="4"/>
  <c r="M417" i="4"/>
  <c r="M401" i="4"/>
  <c r="M385" i="4"/>
  <c r="M369" i="4"/>
  <c r="M353" i="4"/>
  <c r="M337" i="4"/>
  <c r="M321" i="4"/>
  <c r="M305" i="4"/>
  <c r="M289" i="4"/>
  <c r="M273" i="4"/>
  <c r="M257" i="4"/>
  <c r="M241" i="4"/>
  <c r="M225" i="4"/>
  <c r="M209" i="4"/>
  <c r="M193" i="4"/>
  <c r="M177" i="4"/>
  <c r="M161" i="4"/>
  <c r="M145" i="4"/>
  <c r="M129" i="4"/>
  <c r="M113" i="4"/>
  <c r="M97" i="4"/>
  <c r="M81" i="4"/>
  <c r="M65" i="4"/>
  <c r="M49" i="4"/>
  <c r="M33" i="4"/>
  <c r="M17" i="4"/>
  <c r="M472" i="4"/>
  <c r="M120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B79E5F-F542-46B3-8116-E5ED98945704}" keepAlive="1" name="Query - ledger" description="Connection to the 'ledger' query in the workbook." type="5" refreshedVersion="8" background="1" saveData="1">
    <dbPr connection="Provider=Microsoft.Mashup.OleDb.1;Data Source=$Workbook$;Location=ledger;Extended Properties=&quot;&quot;" command="SELECT * FROM [ledger]"/>
  </connection>
  <connection id="2" xr16:uid="{739D800B-5D78-4F1A-9D2C-1CB581D43169}" keepAlive="1" name="Query - merchants" description="Connection to the 'merchants' query in the workbook." type="5" refreshedVersion="8" background="1" saveData="1">
    <dbPr connection="Provider=Microsoft.Mashup.OleDb.1;Data Source=$Workbook$;Location=merchants;Extended Properties=&quot;&quot;" command="SELECT * FROM [merchants]"/>
  </connection>
</connections>
</file>

<file path=xl/sharedStrings.xml><?xml version="1.0" encoding="utf-8"?>
<sst xmlns="http://schemas.openxmlformats.org/spreadsheetml/2006/main" count="2304" uniqueCount="633">
  <si>
    <t>transaction_id</t>
  </si>
  <si>
    <t>user_id</t>
  </si>
  <si>
    <t>merchant_id</t>
  </si>
  <si>
    <t>transaction_time</t>
  </si>
  <si>
    <t>amount_inr</t>
  </si>
  <si>
    <t>payment_method</t>
  </si>
  <si>
    <t>status</t>
  </si>
  <si>
    <t>risk_score</t>
  </si>
  <si>
    <t>TXN100000</t>
  </si>
  <si>
    <t>Wallet</t>
  </si>
  <si>
    <t>captured</t>
  </si>
  <si>
    <t>TXN100001</t>
  </si>
  <si>
    <t>UPI</t>
  </si>
  <si>
    <t>TXN100002</t>
  </si>
  <si>
    <t>TXN100003</t>
  </si>
  <si>
    <t>Netbanking</t>
  </si>
  <si>
    <t>TXN100004</t>
  </si>
  <si>
    <t>TXN100005</t>
  </si>
  <si>
    <t>TXN100006</t>
  </si>
  <si>
    <t>TXN100007</t>
  </si>
  <si>
    <t>TXN100008</t>
  </si>
  <si>
    <t>TXN100009</t>
  </si>
  <si>
    <t>TXN100010</t>
  </si>
  <si>
    <t>TXN100011</t>
  </si>
  <si>
    <t>Card</t>
  </si>
  <si>
    <t>failed</t>
  </si>
  <si>
    <t>TXN100012</t>
  </si>
  <si>
    <t>TXN100013</t>
  </si>
  <si>
    <t>TXN100014</t>
  </si>
  <si>
    <t>TXN100015</t>
  </si>
  <si>
    <t>TXN100016</t>
  </si>
  <si>
    <t>TXN100017</t>
  </si>
  <si>
    <t>TXN100018</t>
  </si>
  <si>
    <t>TXN100019</t>
  </si>
  <si>
    <t>TXN100020</t>
  </si>
  <si>
    <t>TXN100021</t>
  </si>
  <si>
    <t>TXN100022</t>
  </si>
  <si>
    <t>TXN100023</t>
  </si>
  <si>
    <t>chargeback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</si>
  <si>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</si>
  <si>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</si>
  <si>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</si>
  <si>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</si>
  <si>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</si>
  <si>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</si>
  <si>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</si>
  <si>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</si>
  <si>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</si>
  <si>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</si>
  <si>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</si>
  <si>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</si>
  <si>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</si>
  <si>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</si>
  <si>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</si>
  <si>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</si>
  <si>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</si>
  <si>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</si>
  <si>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</si>
  <si>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</si>
  <si>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</si>
  <si>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</si>
  <si>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</si>
  <si>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</si>
  <si>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</si>
  <si>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</si>
  <si>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</si>
  <si>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</si>
  <si>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</si>
  <si>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</si>
  <si>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</si>
  <si>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</si>
  <si>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</si>
  <si>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</si>
  <si>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</si>
  <si>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</si>
  <si>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</si>
  <si>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</si>
  <si>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</si>
  <si>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</si>
  <si>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</si>
  <si>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</si>
  <si>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</si>
  <si>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</si>
  <si>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</si>
  <si>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</si>
  <si>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</si>
  <si>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</si>
  <si>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</si>
  <si>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</si>
  <si>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</si>
  <si>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</si>
  <si>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</si>
  <si>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</si>
  <si>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</si>
  <si>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</si>
  <si>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</si>
  <si>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</si>
  <si>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</si>
  <si>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</si>
  <si>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</si>
  <si>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</si>
  <si>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</si>
  <si>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</si>
  <si>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</si>
  <si>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</si>
  <si>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</si>
  <si>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</si>
  <si>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</si>
  <si>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</si>
  <si>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</si>
  <si>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</si>
  <si>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</si>
  <si>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</si>
  <si>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</si>
  <si>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</si>
  <si>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</si>
  <si>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</si>
  <si>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</si>
  <si>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</si>
  <si>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</si>
  <si>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</si>
  <si>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</si>
  <si>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</si>
  <si>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</si>
  <si>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</si>
  <si>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</si>
  <si>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</si>
  <si>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</si>
  <si>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</si>
  <si>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</si>
  <si>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</si>
  <si>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</si>
  <si>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</si>
  <si>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</si>
  <si>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</si>
  <si>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</si>
  <si>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</si>
  <si>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</si>
  <si>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</si>
  <si>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</si>
  <si>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</si>
  <si>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</si>
  <si>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</si>
  <si>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</si>
  <si>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</si>
  <si>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</si>
  <si>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</si>
  <si>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</si>
  <si>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</si>
  <si>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</si>
  <si>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</si>
  <si>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</si>
  <si>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</si>
  <si>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</si>
  <si>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</si>
  <si>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</si>
  <si>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</si>
  <si>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</si>
  <si>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</si>
  <si>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</si>
  <si>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</si>
  <si>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</si>
  <si>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</si>
  <si>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</si>
  <si>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</si>
  <si>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</si>
  <si>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</si>
  <si>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</si>
  <si>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</si>
  <si>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</si>
  <si>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</si>
  <si>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</si>
  <si>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</si>
  <si>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</si>
  <si>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</si>
  <si>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</si>
  <si>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</si>
  <si>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</si>
  <si>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</si>
  <si>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</si>
  <si>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</si>
  <si>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</si>
  <si>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</si>
  <si>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</si>
  <si>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</si>
  <si>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</si>
  <si>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</si>
  <si>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</si>
  <si>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</si>
  <si>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</si>
  <si>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</si>
  <si>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</si>
  <si>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</si>
  <si>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</si>
  <si>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</si>
  <si>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</si>
  <si>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</si>
  <si>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</si>
  <si>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</si>
  <si>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</si>
  <si>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</si>
  <si>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</si>
  <si>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</si>
  <si>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</si>
  <si>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</si>
  <si>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</si>
  <si>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</si>
  <si>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</si>
  <si>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</si>
  <si>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</si>
  <si>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</si>
  <si>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</si>
  <si>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</si>
  <si>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</si>
  <si>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</si>
  <si>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</si>
  <si>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</si>
  <si>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</si>
  <si>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</si>
  <si>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</si>
  <si>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</si>
  <si>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</si>
  <si>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</si>
  <si>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</si>
  <si>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</si>
  <si>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</si>
  <si>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</si>
  <si>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</si>
  <si>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</si>
  <si>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</si>
  <si>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</si>
  <si>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</si>
  <si>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</si>
  <si>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</si>
  <si>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</si>
  <si>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</si>
  <si>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</si>
  <si>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</si>
  <si>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</si>
  <si>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</si>
  <si>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</si>
  <si>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</si>
  <si>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</si>
  <si>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</si>
  <si>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</si>
  <si>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</si>
  <si>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</si>
  <si>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</si>
  <si>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</si>
  <si>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</si>
  <si>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</si>
  <si>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</si>
  <si>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</si>
  <si>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</si>
  <si>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</si>
  <si>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</si>
  <si>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</si>
  <si>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</si>
  <si>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</si>
  <si>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</si>
  <si>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</si>
  <si>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</si>
  <si>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</si>
  <si>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</si>
  <si>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</si>
  <si>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</si>
  <si>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</si>
  <si>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</si>
  <si>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</si>
  <si>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</si>
  <si>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</si>
  <si>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</si>
  <si>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</si>
  <si>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</si>
  <si>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</si>
  <si>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</si>
  <si>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</si>
  <si>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</si>
  <si>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</si>
  <si>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</si>
  <si>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</si>
  <si>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</si>
  <si>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</si>
  <si>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</si>
  <si>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</si>
  <si>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</si>
  <si>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</si>
  <si>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</si>
  <si>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</si>
  <si>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</si>
  <si>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</si>
  <si>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</si>
  <si>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</si>
  <si>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</si>
  <si>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</si>
  <si>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</si>
  <si>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</si>
  <si>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</si>
  <si>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</si>
  <si>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</si>
  <si>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</si>
  <si>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</si>
  <si>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</si>
  <si>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</si>
  <si>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</si>
  <si>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</si>
  <si>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</si>
  <si>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</si>
  <si>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</si>
  <si>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</si>
  <si>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</si>
  <si>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</si>
  <si>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</si>
  <si>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</si>
  <si>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</si>
  <si>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</si>
  <si>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</si>
  <si>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</si>
  <si>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</si>
  <si>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</si>
  <si>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</si>
  <si>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</si>
  <si>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</si>
  <si>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</si>
  <si>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</si>
  <si>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</si>
  <si>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</si>
  <si>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</si>
  <si>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</si>
  <si>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</si>
  <si>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</si>
  <si>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</si>
  <si>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</si>
  <si>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</si>
  <si>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</si>
  <si>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</si>
  <si>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</si>
  <si>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</si>
  <si>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</si>
  <si>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</si>
  <si>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</si>
  <si>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</si>
  <si>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</si>
  <si>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</si>
  <si>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</si>
  <si>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</si>
  <si>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</si>
  <si>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</si>
  <si>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</si>
  <si>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</si>
  <si>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</si>
  <si>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</si>
  <si>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</si>
  <si>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</si>
  <si>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</si>
  <si>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</si>
  <si>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</si>
  <si>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</si>
  <si>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</si>
  <si>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</si>
  <si>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</si>
  <si>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</si>
  <si>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</si>
  <si>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</si>
  <si>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</si>
  <si>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</si>
  <si>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</si>
  <si>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</si>
  <si>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</si>
  <si>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</si>
  <si>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</si>
  <si>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</si>
  <si>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</si>
  <si>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</si>
  <si>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</si>
  <si>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</si>
  <si>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</si>
  <si>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</si>
  <si>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</si>
  <si>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</si>
  <si>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</si>
  <si>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</si>
  <si>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</si>
  <si>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</si>
  <si>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</si>
  <si>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</si>
  <si>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</si>
  <si>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</si>
  <si>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</si>
  <si>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</si>
  <si>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</si>
  <si>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</si>
  <si>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</si>
  <si>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</si>
  <si>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</si>
  <si>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</si>
  <si>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</si>
  <si>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</si>
  <si>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</si>
  <si>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</si>
  <si>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</si>
  <si>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</si>
  <si>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</si>
  <si>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</si>
  <si>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</si>
  <si>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</si>
  <si>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</si>
  <si>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</si>
  <si>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</si>
  <si>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</si>
  <si>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</si>
  <si>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</si>
  <si>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</si>
  <si>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</si>
  <si>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</si>
  <si>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</si>
  <si>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</si>
  <si>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</si>
  <si>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</si>
  <si>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</si>
  <si>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</si>
  <si>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</si>
  <si>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</si>
  <si>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</si>
  <si>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</si>
  <si>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</si>
  <si>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</si>
  <si>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</si>
  <si>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</si>
  <si>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</si>
  <si>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</si>
  <si>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</si>
  <si>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</si>
  <si>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</si>
  <si>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</si>
  <si>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</si>
  <si>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</si>
  <si>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</si>
  <si>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</si>
  <si>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</si>
  <si>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</si>
  <si>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</si>
  <si>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</si>
  <si>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</si>
  <si>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</si>
  <si>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</si>
  <si>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</si>
  <si>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</si>
  <si>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</si>
  <si>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</si>
  <si>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</si>
  <si>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</si>
  <si>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</si>
  <si>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</si>
  <si>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</si>
  <si>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</si>
  <si>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</si>
  <si>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</si>
  <si>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</si>
  <si>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</si>
  <si>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</si>
  <si>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</si>
  <si>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</si>
  <si>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</si>
  <si>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</si>
  <si>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</si>
  <si>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</si>
  <si>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</si>
  <si>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</si>
  <si>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</si>
  <si>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</si>
  <si>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</si>
  <si>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</si>
  <si>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</si>
  <si>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</si>
  <si>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</si>
  <si>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</si>
  <si>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</si>
  <si>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</si>
  <si>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</si>
  <si>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</si>
  <si>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</si>
  <si>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</si>
  <si>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</si>
  <si>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</si>
  <si>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</si>
  <si>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</si>
  <si>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</si>
  <si>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</si>
  <si>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</si>
  <si>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</si>
  <si>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</si>
  <si>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</si>
  <si>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</si>
  <si>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</si>
  <si>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</si>
  <si>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</si>
  <si>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</si>
  <si>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</si>
  <si>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</si>
  <si>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</si>
  <si>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</si>
  <si>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</si>
  <si>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</si>
  <si>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</si>
  <si>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</si>
  <si>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</si>
  <si>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</si>
  <si>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</si>
  <si>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</si>
  <si>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</si>
  <si>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</si>
  <si>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</si>
  <si>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</si>
  <si>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</si>
  <si>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TXN200000</t>
  </si>
  <si>
    <t>TXN200001</t>
  </si>
  <si>
    <t>TXN200002</t>
  </si>
  <si>
    <t>TXN200003</t>
  </si>
  <si>
    <t>TXN200004</t>
  </si>
  <si>
    <t>TXN200005</t>
  </si>
  <si>
    <t>TXN200006</t>
  </si>
  <si>
    <t>TXN200007</t>
  </si>
  <si>
    <t>TXN200008</t>
  </si>
  <si>
    <t>TXN200009</t>
  </si>
  <si>
    <t>TXN200010</t>
  </si>
  <si>
    <t>TXN200011</t>
  </si>
  <si>
    <t>TXN200012</t>
  </si>
  <si>
    <t>TXN200013</t>
  </si>
  <si>
    <t>TXN200014</t>
  </si>
  <si>
    <t>TXN300000</t>
  </si>
  <si>
    <t>TXN300001</t>
  </si>
  <si>
    <t>TXN300002</t>
  </si>
  <si>
    <t>TXN300003</t>
  </si>
  <si>
    <t>TXN300004</t>
  </si>
  <si>
    <t>TXN300005</t>
  </si>
  <si>
    <t>TXN300006</t>
  </si>
  <si>
    <t>TXN300007</t>
  </si>
  <si>
    <t>TXN300008</t>
  </si>
  <si>
    <t>TXN300009</t>
  </si>
  <si>
    <t>TXN300010</t>
  </si>
  <si>
    <t>TXN300011</t>
  </si>
  <si>
    <t>TXN300012</t>
  </si>
  <si>
    <t>TXN300013</t>
  </si>
  <si>
    <t>TXN300014</t>
  </si>
  <si>
    <t>TXN300015</t>
  </si>
  <si>
    <t>TXN300016</t>
  </si>
  <si>
    <t>TXN300017</t>
  </si>
  <si>
    <t>TXN300018</t>
  </si>
  <si>
    <t>TXN300019</t>
  </si>
  <si>
    <t>TXN300020</t>
  </si>
  <si>
    <t>TXN300021</t>
  </si>
  <si>
    <t>TXN300022</t>
  </si>
  <si>
    <t>TXN300023</t>
  </si>
  <si>
    <t>TXN300024</t>
  </si>
  <si>
    <t>TXN300025</t>
  </si>
  <si>
    <t>TXN300026</t>
  </si>
  <si>
    <t>TXN300027</t>
  </si>
  <si>
    <t>TXN300028</t>
  </si>
  <si>
    <t>TXN300029</t>
  </si>
  <si>
    <t>TXN300030</t>
  </si>
  <si>
    <t>TXN300031</t>
  </si>
  <si>
    <t>merchant_name</t>
  </si>
  <si>
    <t>category</t>
  </si>
  <si>
    <t>region</t>
  </si>
  <si>
    <t>Merchant_001</t>
  </si>
  <si>
    <t>ecommerce</t>
  </si>
  <si>
    <t>South</t>
  </si>
  <si>
    <t>Merchant_002</t>
  </si>
  <si>
    <t>grocery</t>
  </si>
  <si>
    <t>West</t>
  </si>
  <si>
    <t>Merchant_003</t>
  </si>
  <si>
    <t>East</t>
  </si>
  <si>
    <t>Merchant_004</t>
  </si>
  <si>
    <t>Merchant_005</t>
  </si>
  <si>
    <t>recharge</t>
  </si>
  <si>
    <t>Merchant_006</t>
  </si>
  <si>
    <t>food_delivery</t>
  </si>
  <si>
    <t>Merchant_007</t>
  </si>
  <si>
    <t>Merchant_008</t>
  </si>
  <si>
    <t>North</t>
  </si>
  <si>
    <t>Merchant_009</t>
  </si>
  <si>
    <t>Merchant_010</t>
  </si>
  <si>
    <t>Merchant_011</t>
  </si>
  <si>
    <t>Merchant_012</t>
  </si>
  <si>
    <t>Merchant_013</t>
  </si>
  <si>
    <t>travel</t>
  </si>
  <si>
    <t>Merchant_014</t>
  </si>
  <si>
    <t>Merchant_015</t>
  </si>
  <si>
    <t>Merchant_016</t>
  </si>
  <si>
    <t>bill_payment</t>
  </si>
  <si>
    <t>Merchant_017</t>
  </si>
  <si>
    <t>Merchant_018</t>
  </si>
  <si>
    <t>Merchant_019</t>
  </si>
  <si>
    <t>Merchant_020</t>
  </si>
  <si>
    <t>Merchant_021</t>
  </si>
  <si>
    <t>Merchant_022</t>
  </si>
  <si>
    <t>Merchant_023</t>
  </si>
  <si>
    <t>Merchant_024</t>
  </si>
  <si>
    <t>Merchant_025</t>
  </si>
  <si>
    <t>Merchant_026</t>
  </si>
  <si>
    <t>Merchant_027</t>
  </si>
  <si>
    <t>Merchant_028</t>
  </si>
  <si>
    <t>Merchant_029</t>
  </si>
  <si>
    <t>Merchant_030</t>
  </si>
  <si>
    <t>Merchant_031</t>
  </si>
  <si>
    <t>Merchant_032</t>
  </si>
  <si>
    <t>Merchant_033</t>
  </si>
  <si>
    <t>Merchant_034</t>
  </si>
  <si>
    <t>Merchant_035</t>
  </si>
  <si>
    <t>Merchant_036</t>
  </si>
  <si>
    <t>entertainment</t>
  </si>
  <si>
    <t>Merchant_037</t>
  </si>
  <si>
    <t>Merchant_038</t>
  </si>
  <si>
    <t>Merchant_039</t>
  </si>
  <si>
    <t>Merchant_040</t>
  </si>
  <si>
    <t>Category</t>
  </si>
  <si>
    <t>Region</t>
  </si>
  <si>
    <t>Method</t>
  </si>
  <si>
    <t>Fee%</t>
  </si>
  <si>
    <t>MDR_Fee</t>
  </si>
  <si>
    <t>Short_date</t>
  </si>
  <si>
    <t>Grand Total</t>
  </si>
  <si>
    <t>Value Classification</t>
  </si>
  <si>
    <t>Rule: Labeled 'High-Value Merchant Day' if daily total &gt; ₹5,000 and Region is not East.</t>
  </si>
  <si>
    <t>Unique_Day_Flag</t>
  </si>
  <si>
    <t>Unique Transacting Days</t>
  </si>
  <si>
    <t>Total Transactions</t>
  </si>
  <si>
    <t>Total Volume</t>
  </si>
  <si>
    <t>Date</t>
  </si>
  <si>
    <t>Total Amount</t>
  </si>
  <si>
    <t>Merchant Name</t>
  </si>
  <si>
    <t>Merchants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</si>
</sst>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22" fontId="0" fillId="0" borderId="0" xfId="0" applyNumberFormat="1"/>
    <xf numFmtId="0" fontId="0" fillId="0" borderId="0" xfId="0" applyNumberFormat="1"/>
    <xf numFmtId="1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Fon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01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dd/mm/yyyy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urya jain" refreshedDate="46253.682840277776" createdVersion="8" refreshedVersion="8" minRefreshableVersion="3" recordCount="547" xr:uid="{B4716009-AA94-4E0E-86B0-4A7C8EF7124F}">
  <cacheSource type="worksheet">
    <worksheetSource name="ledger"/>
  </cacheSource>
  <cacheFields count="17">
    <cacheField name="transaction_id" numFmtId="0">
      <sharedItems count="547">
        <s v="TXN100000"/>
        <s v="TXN100001"/>
        <s v="TXN100002"/>
        <s v="TXN100003"/>
        <s v="TXN100004"/>
        <s v="TXN100005"/>
        <s v="TXN100006"/>
        <s v="TXN100007"/>
        <s v="TXN100008"/>
        <s v="TXN100009"/>
        <s v="TXN100010"/>
        <s v="TXN100011"/>
        <s v="TXN100012"/>
        <s v="TXN100013"/>
        <s v="TXN100014"/>
        <s v="TXN100015"/>
        <s v="TXN100016"/>
        <s v="TXN100017"/>
        <s v="TXN100018"/>
        <s v="TXN100019"/>
        <s v="TXN100020"/>
        <s v="TXN100021"/>
        <s v="TXN100022"/>
        <s v="TXN100023"/>
        <s v="TXN100024"/>
        <s v="TXN100025"/>
        <s v="TXN100026"/>
        <s v="TXN100027"/>
        <s v="TXN100028"/>
        <s v="TXN100029"/>
        <s v="TXN100030"/>
        <s v="TXN100031"/>
        <s v="TXN100032"/>
        <s v="TXN100033"/>
        <s v="TXN100034"/>
        <s v="TXN100035"/>
        <s v="TXN100036"/>
        <s v="TXN100037"/>
        <s v="TXN100038"/>
        <s v="TXN100039"/>
        <s v="TXN100040"/>
        <s v="TXN100041"/>
        <s v="TXN100042"/>
        <s v="TXN100043"/>
        <s v="TXN100044"/>
        <s v="TXN100045"/>
        <s v="TXN100046"/>
        <s v="TXN100047"/>
        <s v="TXN100048"/>
        <s v="TXN100049"/>
        <s v="TXN100050"/>
        <s v="TXN100051"/>
        <s v="TXN100052"/>
        <s v="TXN100053"/>
        <s v="TXN100054"/>
        <s v="TXN100055"/>
        <s v="TXN100056"/>
        <s v="TXN100057"/>
        <s v="TXN100058"/>
        <s v="TXN100059"/>
        <s v="TXN100060"/>
        <s v="TXN100061"/>
        <s v="TXN100062"/>
        <s v="TXN100063"/>
        <s v="TXN100064"/>
        <s v="TXN100065"/>
        <s v="TXN100066"/>
        <s v="TXN100067"/>
        <s v="TXN100068"/>
        <s v="TXN100069"/>
        <s v="TXN100070"/>
        <s v="TXN100071"/>
        <s v="TXN100072"/>
        <s v="TXN100073"/>
        <s v="TXN100074"/>
        <s v="TXN100075"/>
        <s v="TXN100076"/>
        <s v="TXN100077"/>
        <s v="TXN100078"/>
        <s v="TXN100079"/>
        <s v="TXN100080"/>
        <s v="TXN100081"/>
        <s v="TXN100082"/>
        <s v="TXN100083"/>
        <s v="TXN100084"/>
        <s v="TXN100085"/>
        <s v="TXN100086"/>
        <s v="TXN100087"/>
        <s v="TXN100088"/>
        <s v="TXN100089"/>
        <s v="TXN100090"/>
        <s v="TXN100091"/>
        <s v="TXN100092"/>
        <s v="TXN100093"/>
        <s v="TXN100094"/>
        <s v="TXN100095"/>
        <s v="TXN100096"/>
        <s v="TXN100097"/>
        <s v="TXN100098"/>
        <s v="TXN100099"/>
        <s v="TXN100100"/>
        <s v="TXN100101"/>
        <s v="TXN100102"/>
        <s v="TXN100103"/>
        <s v="TXN100104"/>
        <s v="TXN100105"/>
        <s v="TXN100106"/>
        <s v="TXN100107"/>
        <s v="TXN100108"/>
        <s v="TXN100109"/>
        <s v="TXN100110"/>
        <s v="TXN100111"/>
        <s v="TXN100112"/>
        <s v="TXN100113"/>
        <s v="TXN100114"/>
        <s v="TXN100115"/>
        <s v="TXN100116"/>
        <s v="TXN100117"/>
        <s v="TXN100118"/>
        <s v="TXN100119"/>
        <s v="TXN100120"/>
        <s v="TXN100121"/>
        <s v="TXN100122"/>
        <s v="TXN100123"/>
        <s v="TXN100124"/>
        <s v="TXN100125"/>
        <s v="TXN100126"/>
        <s v="TXN100127"/>
        <s v="TXN100128"/>
        <s v="TXN100129"/>
        <s v="TXN100130"/>
        <s v="TXN100131"/>
        <s v="TXN100132"/>
        <s v="TXN100133"/>
        <s v="TXN100134"/>
        <s v="TXN100135"/>
        <s v="TXN100136"/>
        <s v="TXN100137"/>
        <s v="TXN100138"/>
        <s v="TXN100139"/>
        <s v="TXN100140"/>
        <s v="TXN100141"/>
        <s v="TXN100142"/>
        <s v="TXN100143"/>
        <s v="TXN100144"/>
        <s v="TXN100145"/>
        <s v="TXN100146"/>
        <s v="TXN100147"/>
        <s v="TXN100148"/>
        <s v="TXN100149"/>
        <s v="TXN100150"/>
        <s v="TXN100151"/>
        <s v="TXN100152"/>
        <s v="TXN100153"/>
        <s v="TXN100154"/>
        <s v="TXN100155"/>
        <s v="TXN100156"/>
        <s v="TXN100157"/>
        <s v="TXN100158"/>
        <s v="TXN100159"/>
        <s v="TXN100160"/>
        <s v="TXN100161"/>
        <s v="TXN100162"/>
        <s v="TXN100163"/>
        <s v="TXN100164"/>
        <s v="TXN100165"/>
        <s v="TXN100166"/>
        <s v="TXN100167"/>
        <s v="TXN100168"/>
        <s v="TXN100169"/>
        <s v="TXN100170"/>
        <s v="TXN100171"/>
        <s v="TXN100172"/>
        <s v="TXN100173"/>
        <s v="TXN100174"/>
        <s v="TXN100175"/>
        <s v="TXN100176"/>
        <s v="TXN100177"/>
        <s v="TXN100178"/>
        <s v="TXN100179"/>
        <s v="TXN100180"/>
        <s v="TXN100181"/>
        <s v="TXN100182"/>
        <s v="TXN100183"/>
        <s v="TXN100184"/>
        <s v="TXN100185"/>
        <s v="TXN100186"/>
        <s v="TXN100187"/>
        <s v="TXN100188"/>
        <s v="TXN100189"/>
        <s v="TXN100190"/>
        <s v="TXN100191"/>
        <s v="TXN100192"/>
        <s v="TXN100193"/>
        <s v="TXN100194"/>
        <s v="TXN100195"/>
        <s v="TXN100196"/>
        <s v="TXN100197"/>
        <s v="TXN100198"/>
        <s v="TXN100199"/>
        <s v="TXN100200"/>
        <s v="TXN100201"/>
        <s v="TXN100202"/>
        <s v="TXN100203"/>
        <s v="TXN100204"/>
        <s v="TXN100205"/>
        <s v="TXN100206"/>
        <s v="TXN100207"/>
        <s v="TXN100208"/>
        <s v="TXN100209"/>
        <s v="TXN100210"/>
        <s v="TXN100211"/>
        <s v="TXN100212"/>
        <s v="TXN100213"/>
        <s v="TXN100214"/>
        <s v="TXN100215"/>
        <s v="TXN100216"/>
        <s v="TXN100217"/>
        <s v="TXN100218"/>
        <s v="TXN100219"/>
        <s v="TXN100220"/>
        <s v="TXN100221"/>
        <s v="TXN100222"/>
        <s v="TXN100223"/>
        <s v="TXN100224"/>
        <s v="TXN100225"/>
        <s v="TXN100226"/>
        <s v="TXN100227"/>
        <s v="TXN100228"/>
        <s v="TXN100229"/>
        <s v="TXN100230"/>
        <s v="TXN100231"/>
        <s v="TXN100232"/>
        <s v="TXN100233"/>
        <s v="TXN100234"/>
        <s v="TXN100235"/>
        <s v="TXN100236"/>
        <s v="TXN100237"/>
        <s v="TXN100238"/>
        <s v="TXN100239"/>
        <s v="TXN100240"/>
        <s v="TXN100241"/>
        <s v="TXN100242"/>
        <s v="TXN100243"/>
        <s v="TXN100244"/>
        <s v="TXN100245"/>
        <s v="TXN100246"/>
        <s v="TXN100247"/>
        <s v="TXN100248"/>
        <s v="TXN100249"/>
        <s v="TXN100250"/>
        <s v="TXN100251"/>
        <s v="TXN100252"/>
        <s v="TXN100253"/>
        <s v="TXN100254"/>
        <s v="TXN100255"/>
        <s v="TXN100256"/>
        <s v="TXN100257"/>
        <s v="TXN100258"/>
        <s v="TXN100259"/>
        <s v="TXN100260"/>
        <s v="TXN100261"/>
        <s v="TXN100262"/>
        <s v="TXN100263"/>
        <s v="TXN100264"/>
        <s v="TXN100265"/>
        <s v="TXN100266"/>
        <s v="TXN100267"/>
        <s v="TXN100268"/>
        <s v="TXN100269"/>
        <s v="TXN100270"/>
        <s v="TXN100271"/>
        <s v="TXN100272"/>
        <s v="TXN100273"/>
        <s v="TXN100274"/>
        <s v="TXN100275"/>
        <s v="TXN100276"/>
        <s v="TXN100277"/>
        <s v="TXN100278"/>
        <s v="TXN100279"/>
        <s v="TXN100280"/>
        <s v="TXN100281"/>
        <s v="TXN100282"/>
        <s v="TXN100283"/>
        <s v="TXN100284"/>
        <s v="TXN100285"/>
        <s v="TXN100286"/>
        <s v="TXN100287"/>
        <s v="TXN100288"/>
        <s v="TXN100289"/>
        <s v="TXN100290"/>
        <s v="TXN100291"/>
        <s v="TXN100292"/>
        <s v="TXN100293"/>
        <s v="TXN100294"/>
        <s v="TXN100295"/>
        <s v="TXN100296"/>
        <s v="TXN100297"/>
        <s v="TXN100298"/>
        <s v="TXN100299"/>
        <s v="TXN100300"/>
        <s v="TXN100301"/>
        <s v="TXN100302"/>
        <s v="TXN100303"/>
        <s v="TXN100304"/>
        <s v="TXN100305"/>
        <s v="TXN100306"/>
        <s v="TXN100307"/>
        <s v="TXN100308"/>
        <s v="TXN100309"/>
        <s v="TXN100310"/>
        <s v="TXN100311"/>
        <s v="TXN100312"/>
        <s v="TXN100313"/>
        <s v="TXN100314"/>
        <s v="TXN100315"/>
        <s v="TXN100316"/>
        <s v="TXN100317"/>
        <s v="TXN100318"/>
        <s v="TXN100319"/>
        <s v="TXN100320"/>
        <s v="TXN100321"/>
        <s v="TXN100322"/>
        <s v="TXN100323"/>
        <s v="TXN100324"/>
        <s v="TXN100325"/>
        <s v="TXN100326"/>
        <s v="TXN100327"/>
        <s v="TXN100328"/>
        <s v="TXN100329"/>
        <s v="TXN100330"/>
        <s v="TXN100331"/>
        <s v="TXN100332"/>
        <s v="TXN100333"/>
        <s v="TXN100334"/>
        <s v="TXN100335"/>
        <s v="TXN100336"/>
        <s v="TXN100337"/>
        <s v="TXN100338"/>
        <s v="TXN100339"/>
        <s v="TXN100340"/>
        <s v="TXN100341"/>
        <s v="TXN100342"/>
        <s v="TXN100343"/>
        <s v="TXN100344"/>
        <s v="TXN100345"/>
        <s v="TXN100346"/>
        <s v="TXN100347"/>
        <s v="TXN100348"/>
        <s v="TXN100349"/>
        <s v="TXN100350"/>
        <s v="TXN100351"/>
        <s v="TXN100352"/>
        <s v="TXN100353"/>
        <s v="TXN100354"/>
        <s v="TXN100355"/>
        <s v="TXN100356"/>
        <s v="TXN100357"/>
        <s v="TXN100358"/>
        <s v="TXN100359"/>
        <s v="TXN100360"/>
        <s v="TXN100361"/>
        <s v="TXN100362"/>
        <s v="TXN100363"/>
        <s v="TXN100364"/>
        <s v="TXN100365"/>
        <s v="TXN100366"/>
        <s v="TXN100367"/>
        <s v="TXN100368"/>
        <s v="TXN100369"/>
        <s v="TXN100370"/>
        <s v="TXN100371"/>
        <s v="TXN100372"/>
        <s v="TXN100373"/>
        <s v="TXN100374"/>
        <s v="TXN100375"/>
        <s v="TXN100376"/>
        <s v="TXN100377"/>
        <s v="TXN100378"/>
        <s v="TXN100379"/>
        <s v="TXN100380"/>
        <s v="TXN100381"/>
        <s v="TXN100382"/>
        <s v="TXN100383"/>
        <s v="TXN100384"/>
        <s v="TXN100385"/>
        <s v="TXN100386"/>
        <s v="TXN100387"/>
        <s v="TXN100388"/>
        <s v="TXN100389"/>
        <s v="TXN100390"/>
        <s v="TXN100391"/>
        <s v="TXN100392"/>
        <s v="TXN100393"/>
        <s v="TXN100394"/>
        <s v="TXN100395"/>
        <s v="TXN100396"/>
        <s v="TXN100397"/>
        <s v="TXN100398"/>
        <s v="TXN100399"/>
        <s v="TXN100400"/>
        <s v="TXN100401"/>
        <s v="TXN100402"/>
        <s v="TXN100403"/>
        <s v="TXN100404"/>
        <s v="TXN100405"/>
        <s v="TXN100406"/>
        <s v="TXN100407"/>
        <s v="TXN100408"/>
        <s v="TXN100409"/>
        <s v="TXN100410"/>
        <s v="TXN100411"/>
        <s v="TXN100412"/>
        <s v="TXN100413"/>
        <s v="TXN100414"/>
        <s v="TXN100415"/>
        <s v="TXN100416"/>
        <s v="TXN100417"/>
        <s v="TXN100418"/>
        <s v="TXN100419"/>
        <s v="TXN100420"/>
        <s v="TXN100421"/>
        <s v="TXN100422"/>
        <s v="TXN100423"/>
        <s v="TXN100424"/>
        <s v="TXN100425"/>
        <s v="TXN100426"/>
        <s v="TXN100427"/>
        <s v="TXN100428"/>
        <s v="TXN100429"/>
        <s v="TXN100430"/>
        <s v="TXN100431"/>
        <s v="TXN100432"/>
        <s v="TXN100433"/>
        <s v="TXN100434"/>
        <s v="TXN100435"/>
        <s v="TXN100436"/>
        <s v="TXN100437"/>
        <s v="TXN100438"/>
        <s v="TXN100439"/>
        <s v="TXN100440"/>
        <s v="TXN100441"/>
        <s v="TXN100442"/>
        <s v="TXN100443"/>
        <s v="TXN100444"/>
        <s v="TXN100445"/>
        <s v="TXN100446"/>
        <s v="TXN100447"/>
        <s v="TXN100448"/>
        <s v="TXN100449"/>
        <s v="TXN100450"/>
        <s v="TXN100451"/>
        <s v="TXN100452"/>
        <s v="TXN100453"/>
        <s v="TXN100454"/>
        <s v="TXN100455"/>
        <s v="TXN100456"/>
        <s v="TXN100457"/>
        <s v="TXN100458"/>
        <s v="TXN100459"/>
        <s v="TXN100460"/>
        <s v="TXN100461"/>
        <s v="TXN100462"/>
        <s v="TXN100463"/>
        <s v="TXN100464"/>
        <s v="TXN100465"/>
        <s v="TXN100466"/>
        <s v="TXN100467"/>
        <s v="TXN100468"/>
        <s v="TXN100469"/>
        <s v="TXN100470"/>
        <s v="TXN100471"/>
        <s v="TXN100472"/>
        <s v="TXN100473"/>
        <s v="TXN100474"/>
        <s v="TXN100475"/>
        <s v="TXN100476"/>
        <s v="TXN100477"/>
        <s v="TXN100478"/>
        <s v="TXN100479"/>
        <s v="TXN100480"/>
        <s v="TXN100481"/>
        <s v="TXN100482"/>
        <s v="TXN100483"/>
        <s v="TXN100484"/>
        <s v="TXN100485"/>
        <s v="TXN100486"/>
        <s v="TXN100487"/>
        <s v="TXN100488"/>
        <s v="TXN100489"/>
        <s v="TXN100490"/>
        <s v="TXN100491"/>
        <s v="TXN100492"/>
        <s v="TXN100493"/>
        <s v="TXN100494"/>
        <s v="TXN100495"/>
        <s v="TXN100496"/>
        <s v="TXN100497"/>
        <s v="TXN100498"/>
        <s v="TXN100499"/>
        <s v="TXN200000"/>
        <s v="TXN200001"/>
        <s v="TXN200002"/>
        <s v="TXN200003"/>
        <s v="TXN200004"/>
        <s v="TXN200005"/>
        <s v="TXN200006"/>
        <s v="TXN200007"/>
        <s v="TXN200008"/>
        <s v="TXN200009"/>
        <s v="TXN200010"/>
        <s v="TXN200011"/>
        <s v="TXN200012"/>
        <s v="TXN200013"/>
        <s v="TXN200014"/>
        <s v="TXN300000"/>
        <s v="TXN300001"/>
        <s v="TXN300002"/>
        <s v="TXN300003"/>
        <s v="TXN300004"/>
        <s v="TXN300005"/>
        <s v="TXN300006"/>
        <s v="TXN300007"/>
        <s v="TXN300008"/>
        <s v="TXN300009"/>
        <s v="TXN300010"/>
        <s v="TXN300011"/>
        <s v="TXN300012"/>
        <s v="TXN300013"/>
        <s v="TXN300014"/>
        <s v="TXN300015"/>
        <s v="TXN300016"/>
        <s v="TXN300017"/>
        <s v="TXN300018"/>
        <s v="TXN300019"/>
        <s v="TXN300020"/>
        <s v="TXN300021"/>
        <s v="TXN300022"/>
        <s v="TXN300023"/>
        <s v="TXN300024"/>
        <s v="TXN300025"/>
        <s v="TXN300026"/>
        <s v="TXN300027"/>
        <s v="TXN300028"/>
        <s v="TXN300029"/>
        <s v="TXN300030"/>
        <s v="TXN300031"/>
      </sharedItems>
    </cacheField>
    <cacheField name="user_id" numFmtId="0">
      <sharedItems containsSemiMixedTypes="0" containsString="0" containsNumber="1" containsInteger="1" minValue="1" maxValue="365"/>
    </cacheField>
    <cacheField name="merchant_id" numFmtId="0">
      <sharedItems containsSemiMixedTypes="0" containsString="0" containsNumber="1" containsInteger="1" minValue="1" maxValue="40"/>
    </cacheField>
    <cacheField name="merchant_name" numFmtId="0">
      <sharedItems count="40">
        <s v="Merchant_016"/>
        <s v="Merchant_027"/>
        <s v="Merchant_011"/>
        <s v="Merchant_022"/>
        <s v="Merchant_003"/>
        <s v="Merchant_023"/>
        <s v="Merchant_013"/>
        <s v="Merchant_018"/>
        <s v="Merchant_035"/>
        <s v="Merchant_012"/>
        <s v="Merchant_028"/>
        <s v="Merchant_033"/>
        <s v="Merchant_040"/>
        <s v="Merchant_019"/>
        <s v="Merchant_025"/>
        <s v="Merchant_020"/>
        <s v="Merchant_014"/>
        <s v="Merchant_021"/>
        <s v="Merchant_006"/>
        <s v="Merchant_015"/>
        <s v="Merchant_031"/>
        <s v="Merchant_037"/>
        <s v="Merchant_026"/>
        <s v="Merchant_007"/>
        <s v="Merchant_030"/>
        <s v="Merchant_036"/>
        <s v="Merchant_029"/>
        <s v="Merchant_002"/>
        <s v="Merchant_017"/>
        <s v="Merchant_004"/>
        <s v="Merchant_008"/>
        <s v="Merchant_024"/>
        <s v="Merchant_005"/>
        <s v="Merchant_032"/>
        <s v="Merchant_010"/>
        <s v="Merchant_038"/>
        <s v="Merchant_034"/>
        <s v="Merchant_001"/>
        <s v="Merchant_039"/>
        <s v="Merchant_009"/>
      </sharedItems>
    </cacheField>
    <cacheField name="Region" numFmtId="0">
      <sharedItems count="4">
        <s v="West"/>
        <s v="North"/>
        <s v="South"/>
        <s v="East"/>
      </sharedItems>
    </cacheField>
    <cacheField name="Category" numFmtId="0">
      <sharedItems/>
    </cacheField>
    <cacheField name="transaction_time" numFmtId="22">
      <sharedItems containsSemiMixedTypes="0" containsNonDate="0" containsDate="1" containsString="0" minDate="2026-01-01T02:14:00" maxDate="2026-01-30T23:17:00" count="542">
        <d v="2026-01-29T11:13:00"/>
        <d v="2026-01-04T11:49:00"/>
        <d v="2026-01-24T04:59:00"/>
        <d v="2026-01-29T13:01:00"/>
        <d v="2026-01-30T13:51:00"/>
        <d v="2026-01-06T22:06:00"/>
        <d v="2026-01-08T06:52:00"/>
        <d v="2026-01-27T07:14:00"/>
        <d v="2026-01-11T08:55:00"/>
        <d v="2026-01-21T16:25:00"/>
        <d v="2026-01-01T03:56:00"/>
        <d v="2026-01-09T01:06:00"/>
        <d v="2026-01-24T10:27:00"/>
        <d v="2026-01-13T18:12:00"/>
        <d v="2026-01-14T00:33:00"/>
        <d v="2026-01-14T02:42:00"/>
        <d v="2026-01-22T03:46:00"/>
        <d v="2026-01-22T13:20:00"/>
        <d v="2026-01-05T06:26:00"/>
        <d v="2026-01-24T05:39:00"/>
        <d v="2026-01-18T00:19:00"/>
        <d v="2026-01-26T18:38:00"/>
        <d v="2026-01-15T14:43:00"/>
        <d v="2026-01-26T23:10:00"/>
        <d v="2026-01-17T21:40:00"/>
        <d v="2026-01-27T07:43:00"/>
        <d v="2026-01-05T00:02:00"/>
        <d v="2026-01-28T02:29:00"/>
        <d v="2026-01-23T22:24:00"/>
        <d v="2026-01-05T20:44:00"/>
        <d v="2026-01-14T07:11:00"/>
        <d v="2026-01-18T07:58:00"/>
        <d v="2026-01-26T14:42:00"/>
        <d v="2026-01-11T14:39:00"/>
        <d v="2026-01-15T05:47:00"/>
        <d v="2026-01-25T07:53:00"/>
        <d v="2026-01-25T16:31:00"/>
        <d v="2026-01-15T02:45:00"/>
        <d v="2026-01-11T10:57:00"/>
        <d v="2026-01-05T07:24:00"/>
        <d v="2026-01-14T13:21:00"/>
        <d v="2026-01-02T06:53:00"/>
        <d v="2026-01-19T22:01:00"/>
        <d v="2026-01-01T11:19:00"/>
        <d v="2026-01-24T23:34:00"/>
        <d v="2026-01-08T08:27:00"/>
        <d v="2026-01-11T21:43:00"/>
        <d v="2026-01-30T04:39:00"/>
        <d v="2026-01-19T18:42:00"/>
        <d v="2026-01-14T04:55:00"/>
        <d v="2026-01-09T12:20:00"/>
        <d v="2026-01-11T12:17:00"/>
        <d v="2026-01-16T00:47:00"/>
        <d v="2026-01-08T20:04:00"/>
        <d v="2026-01-01T07:12:00"/>
        <d v="2026-01-08T04:30:00"/>
        <d v="2026-01-07T14:44:00"/>
        <d v="2026-01-20T19:47:00"/>
        <d v="2026-01-04T18:01:00"/>
        <d v="2026-01-30T12:25:00"/>
        <d v="2026-01-23T20:15:00"/>
        <d v="2026-01-20T03:50:00"/>
        <d v="2026-01-18T13:42:00"/>
        <d v="2026-01-21T10:00:00"/>
        <d v="2026-01-14T11:40:00"/>
        <d v="2026-01-06T23:33:00"/>
        <d v="2026-01-26T17:49:00"/>
        <d v="2026-01-27T23:37:00"/>
        <d v="2026-01-27T02:17:00"/>
        <d v="2026-01-15T18:39:00"/>
        <d v="2026-01-01T15:54:00"/>
        <d v="2026-01-07T11:51:00"/>
        <d v="2026-01-29T19:44:00"/>
        <d v="2026-01-17T06:05:00"/>
        <d v="2026-01-18T07:44:00"/>
        <d v="2026-01-26T00:05:00"/>
        <d v="2026-01-23T07:19:00"/>
        <d v="2026-01-16T17:33:00"/>
        <d v="2026-01-18T10:22:00"/>
        <d v="2026-01-09T07:07:00"/>
        <d v="2026-01-24T17:48:00"/>
        <d v="2026-01-24T15:17:00"/>
        <d v="2026-01-10T03:53:00"/>
        <d v="2026-01-12T05:19:00"/>
        <d v="2026-01-09T01:03:00"/>
        <d v="2026-01-05T20:55:00"/>
        <d v="2026-01-19T09:30:00"/>
        <d v="2026-01-06T01:16:00"/>
        <d v="2026-01-13T15:04:00"/>
        <d v="2026-01-05T18:19:00"/>
        <d v="2026-01-18T13:38:00"/>
        <d v="2026-01-25T16:24:00"/>
        <d v="2026-01-28T18:27:00"/>
        <d v="2026-01-02T19:47:00"/>
        <d v="2026-01-07T08:42:00"/>
        <d v="2026-01-06T17:04:00"/>
        <d v="2026-01-15T22:38:00"/>
        <d v="2026-01-08T09:45:00"/>
        <d v="2026-01-22T07:59:00"/>
        <d v="2026-01-26T06:27:00"/>
        <d v="2026-01-21T04:58:00"/>
        <d v="2026-01-02T05:50:00"/>
        <d v="2026-01-27T18:58:00"/>
        <d v="2026-01-15T22:19:00"/>
        <d v="2026-01-18T15:28:00"/>
        <d v="2026-01-29T13:47:00"/>
        <d v="2026-01-01T02:14:00"/>
        <d v="2026-01-01T21:52:00"/>
        <d v="2026-01-25T05:30:00"/>
        <d v="2026-01-06T18:27:00"/>
        <d v="2026-01-16T11:26:00"/>
        <d v="2026-01-04T05:21:00"/>
        <d v="2026-01-22T12:52:00"/>
        <d v="2026-01-03T10:16:00"/>
        <d v="2026-01-13T16:52:00"/>
        <d v="2026-01-14T01:12:00"/>
        <d v="2026-01-25T15:40:00"/>
        <d v="2026-01-09T17:08:00"/>
        <d v="2026-01-16T03:01:00"/>
        <d v="2026-01-23T05:19:00"/>
        <d v="2026-01-14T02:14:00"/>
        <d v="2026-01-21T04:31:00"/>
        <d v="2026-01-09T13:53:00"/>
        <d v="2026-01-15T17:09:00"/>
        <d v="2026-01-17T23:56:00"/>
        <d v="2026-01-25T13:21:00"/>
        <d v="2026-01-10T23:19:00"/>
        <d v="2026-01-16T04:28:00"/>
        <d v="2026-01-11T17:48:00"/>
        <d v="2026-01-30T10:55:00"/>
        <d v="2026-01-13T07:54:00"/>
        <d v="2026-01-24T15:45:00"/>
        <d v="2026-01-26T20:09:00"/>
        <d v="2026-01-17T18:21:00"/>
        <d v="2026-01-17T14:00:00"/>
        <d v="2026-01-05T02:30:00"/>
        <d v="2026-01-23T12:41:00"/>
        <d v="2026-01-28T17:24:00"/>
        <d v="2026-01-02T19:04:00"/>
        <d v="2026-01-24T02:27:00"/>
        <d v="2026-01-06T22:19:00"/>
        <d v="2026-01-26T01:18:00"/>
        <d v="2026-01-05T07:33:00"/>
        <d v="2026-01-26T05:10:00"/>
        <d v="2026-01-28T12:39:00"/>
        <d v="2026-01-30T18:09:00"/>
        <d v="2026-01-09T14:16:00"/>
        <d v="2026-01-29T09:43:00"/>
        <d v="2026-01-15T11:37:00"/>
        <d v="2026-01-09T14:54:00"/>
        <d v="2026-01-28T15:06:00"/>
        <d v="2026-01-12T18:18:00"/>
        <d v="2026-01-13T08:00:00"/>
        <d v="2026-01-24T15:53:00"/>
        <d v="2026-01-26T11:14:00"/>
        <d v="2026-01-09T21:48:00"/>
        <d v="2026-01-04T20:41:00"/>
        <d v="2026-01-15T01:37:00"/>
        <d v="2026-01-30T09:20:00"/>
        <d v="2026-01-05T17:56:00"/>
        <d v="2026-01-30T08:53:00"/>
        <d v="2026-01-26T09:47:00"/>
        <d v="2026-01-03T04:48:00"/>
        <d v="2026-01-12T02:50:00"/>
        <d v="2026-01-18T03:29:00"/>
        <d v="2026-01-13T20:23:00"/>
        <d v="2026-01-01T19:56:00"/>
        <d v="2026-01-10T20:26:00"/>
        <d v="2026-01-02T09:31:00"/>
        <d v="2026-01-29T17:08:00"/>
        <d v="2026-01-22T23:44:00"/>
        <d v="2026-01-24T23:09:00"/>
        <d v="2026-01-20T13:17:00"/>
        <d v="2026-01-15T14:15:00"/>
        <d v="2026-01-12T17:57:00"/>
        <d v="2026-01-13T08:12:00"/>
        <d v="2026-01-22T06:41:00"/>
        <d v="2026-01-02T10:15:00"/>
        <d v="2026-01-03T17:13:00"/>
        <d v="2026-01-11T04:50:00"/>
        <d v="2026-01-28T04:08:00"/>
        <d v="2026-01-04T21:55:00"/>
        <d v="2026-01-12T07:37:00"/>
        <d v="2026-01-09T01:08:00"/>
        <d v="2026-01-24T02:30:00"/>
        <d v="2026-01-19T03:28:00"/>
        <d v="2026-01-02T23:50:00"/>
        <d v="2026-01-15T20:01:00"/>
        <d v="2026-01-14T21:06:00"/>
        <d v="2026-01-29T02:20:00"/>
        <d v="2026-01-05T08:39:00"/>
        <d v="2026-01-23T10:24:00"/>
        <d v="2026-01-15T16:38:00"/>
        <d v="2026-01-15T07:26:00"/>
        <d v="2026-01-14T23:06:00"/>
        <d v="2026-01-22T08:23:00"/>
        <d v="2026-01-03T02:05:00"/>
        <d v="2026-01-24T11:51:00"/>
        <d v="2026-01-19T17:35:00"/>
        <d v="2026-01-12T21:48:00"/>
        <d v="2026-01-20T09:22:00"/>
        <d v="2026-01-07T04:42:00"/>
        <d v="2026-01-12T17:23:00"/>
        <d v="2026-01-08T13:54:00"/>
        <d v="2026-01-22T20:35:00"/>
        <d v="2026-01-27T22:17:00"/>
        <d v="2026-01-23T09:58:00"/>
        <d v="2026-01-06T04:36:00"/>
        <d v="2026-01-05T23:40:00"/>
        <d v="2026-01-17T06:24:00"/>
        <d v="2026-01-06T11:19:00"/>
        <d v="2026-01-03T01:09:00"/>
        <d v="2026-01-22T02:17:00"/>
        <d v="2026-01-20T14:26:00"/>
        <d v="2026-01-17T03:22:00"/>
        <d v="2026-01-22T21:37:00"/>
        <d v="2026-01-10T01:14:00"/>
        <d v="2026-01-01T06:19:00"/>
        <d v="2026-01-09T09:20:00"/>
        <d v="2026-01-24T13:11:00"/>
        <d v="2026-01-23T07:32:00"/>
        <d v="2026-01-13T23:02:00"/>
        <d v="2026-01-30T02:55:00"/>
        <d v="2026-01-19T12:45:00"/>
        <d v="2026-01-04T12:01:00"/>
        <d v="2026-01-15T22:58:00"/>
        <d v="2026-01-28T03:15:00"/>
        <d v="2026-01-17T02:25:00"/>
        <d v="2026-01-11T05:04:00"/>
        <d v="2026-01-17T06:57:00"/>
        <d v="2026-01-27T20:52:00"/>
        <d v="2026-01-05T08:12:00"/>
        <d v="2026-01-25T20:04:00"/>
        <d v="2026-01-25T18:48:00"/>
        <d v="2026-01-30T18:41:00"/>
        <d v="2026-01-28T20:20:00"/>
        <d v="2026-01-16T14:40:00"/>
        <d v="2026-01-02T11:32:00"/>
        <d v="2026-01-15T01:03:00"/>
        <d v="2026-01-21T02:39:00"/>
        <d v="2026-01-15T18:35:00"/>
        <d v="2026-01-21T06:20:00"/>
        <d v="2026-01-05T01:28:00"/>
        <d v="2026-01-03T16:41:00"/>
        <d v="2026-01-23T14:28:00"/>
        <d v="2026-01-06T11:23:00"/>
        <d v="2026-01-25T10:43:00"/>
        <d v="2026-01-21T10:04:00"/>
        <d v="2026-01-22T12:18:00"/>
        <d v="2026-01-11T02:37:00"/>
        <d v="2026-01-10T20:44:00"/>
        <d v="2026-01-20T22:05:00"/>
        <d v="2026-01-21T10:52:00"/>
        <d v="2026-01-21T21:27:00"/>
        <d v="2026-01-12T09:11:00"/>
        <d v="2026-01-16T06:14:00"/>
        <d v="2026-01-10T03:32:00"/>
        <d v="2026-01-22T10:56:00"/>
        <d v="2026-01-13T04:10:00"/>
        <d v="2026-01-24T14:02:00"/>
        <d v="2026-01-24T07:28:00"/>
        <d v="2026-01-24T14:14:00"/>
        <d v="2026-01-26T15:57:00"/>
        <d v="2026-01-19T14:29:00"/>
        <d v="2026-01-17T13:10:00"/>
        <d v="2026-01-28T08:03:00"/>
        <d v="2026-01-18T03:45:00"/>
        <d v="2026-01-03T05:17:00"/>
        <d v="2026-01-27T13:05:00"/>
        <d v="2026-01-30T00:26:00"/>
        <d v="2026-01-12T07:24:00"/>
        <d v="2026-01-01T10:59:00"/>
        <d v="2026-01-05T01:18:00"/>
        <d v="2026-01-23T15:28:00"/>
        <d v="2026-01-01T08:13:00"/>
        <d v="2026-01-20T16:27:00"/>
        <d v="2026-01-10T03:03:00"/>
        <d v="2026-01-26T19:29:00"/>
        <d v="2026-01-20T17:01:00"/>
        <d v="2026-01-08T22:09:00"/>
        <d v="2026-01-20T11:15:00"/>
        <d v="2026-01-22T21:05:00"/>
        <d v="2026-01-17T17:32:00"/>
        <d v="2026-01-13T15:02:00"/>
        <d v="2026-01-09T23:01:00"/>
        <d v="2026-01-08T23:42:00"/>
        <d v="2026-01-19T23:48:00"/>
        <d v="2026-01-12T17:21:00"/>
        <d v="2026-01-22T14:44:00"/>
        <d v="2026-01-03T22:49:00"/>
        <d v="2026-01-07T01:50:00"/>
        <d v="2026-01-30T09:32:00"/>
        <d v="2026-01-09T01:48:00"/>
        <d v="2026-01-12T01:55:00"/>
        <d v="2026-01-04T11:27:00"/>
        <d v="2026-01-11T05:31:00"/>
        <d v="2026-01-09T02:46:00"/>
        <d v="2026-01-20T05:34:00"/>
        <d v="2026-01-03T10:42:00"/>
        <d v="2026-01-20T22:27:00"/>
        <d v="2026-01-15T01:46:00"/>
        <d v="2026-01-09T20:50:00"/>
        <d v="2026-01-21T12:23:00"/>
        <d v="2026-01-05T19:43:00"/>
        <d v="2026-01-03T07:49:00"/>
        <d v="2026-01-13T18:02:00"/>
        <d v="2026-01-15T11:23:00"/>
        <d v="2026-01-05T16:23:00"/>
        <d v="2026-01-17T12:58:00"/>
        <d v="2026-01-25T08:45:00"/>
        <d v="2026-01-10T22:58:00"/>
        <d v="2026-01-05T02:28:00"/>
        <d v="2026-01-26T21:54:00"/>
        <d v="2026-01-03T17:34:00"/>
        <d v="2026-01-23T22:59:00"/>
        <d v="2026-01-17T07:07:00"/>
        <d v="2026-01-26T15:01:00"/>
        <d v="2026-01-12T14:51:00"/>
        <d v="2026-01-29T02:04:00"/>
        <d v="2026-01-24T15:33:00"/>
        <d v="2026-01-03T04:20:00"/>
        <d v="2026-01-15T21:33:00"/>
        <d v="2026-01-18T20:37:00"/>
        <d v="2026-01-17T01:53:00"/>
        <d v="2026-01-10T05:10:00"/>
        <d v="2026-01-17T09:54:00"/>
        <d v="2026-01-21T17:17:00"/>
        <d v="2026-01-18T02:32:00"/>
        <d v="2026-01-19T04:10:00"/>
        <d v="2026-01-29T19:21:00"/>
        <d v="2026-01-03T01:41:00"/>
        <d v="2026-01-07T18:26:00"/>
        <d v="2026-01-29T20:34:00"/>
        <d v="2026-01-08T21:25:00"/>
        <d v="2026-01-23T01:10:00"/>
        <d v="2026-01-15T06:21:00"/>
        <d v="2026-01-28T22:20:00"/>
        <d v="2026-01-25T11:32:00"/>
        <d v="2026-01-08T14:07:00"/>
        <d v="2026-01-05T03:03:00"/>
        <d v="2026-01-14T07:55:00"/>
        <d v="2026-01-24T10:12:00"/>
        <d v="2026-01-15T15:56:00"/>
        <d v="2026-01-03T12:32:00"/>
        <d v="2026-01-19T11:03:00"/>
        <d v="2026-01-20T20:43:00"/>
        <d v="2026-01-01T03:27:00"/>
        <d v="2026-01-12T12:23:00"/>
        <d v="2026-01-19T17:12:00"/>
        <d v="2026-01-27T19:43:00"/>
        <d v="2026-01-04T12:23:00"/>
        <d v="2026-01-25T04:12:00"/>
        <d v="2026-01-17T01:02:00"/>
        <d v="2026-01-11T15:33:00"/>
        <d v="2026-01-29T16:08:00"/>
        <d v="2026-01-06T12:39:00"/>
        <d v="2026-01-17T16:34:00"/>
        <d v="2026-01-16T00:23:00"/>
        <d v="2026-01-19T09:50:00"/>
        <d v="2026-01-16T08:41:00"/>
        <d v="2026-01-24T01:37:00"/>
        <d v="2026-01-21T23:39:00"/>
        <d v="2026-01-08T01:36:00"/>
        <d v="2026-01-15T10:26:00"/>
        <d v="2026-01-07T13:32:00"/>
        <d v="2026-01-24T01:45:00"/>
        <d v="2026-01-18T10:42:00"/>
        <d v="2026-01-11T05:29:00"/>
        <d v="2026-01-12T21:49:00"/>
        <d v="2026-01-16T06:15:00"/>
        <d v="2026-01-08T09:49:00"/>
        <d v="2026-01-23T15:20:00"/>
        <d v="2026-01-30T23:17:00"/>
        <d v="2026-01-22T17:24:00"/>
        <d v="2026-01-26T04:18:00"/>
        <d v="2026-01-03T11:59:00"/>
        <d v="2026-01-16T06:12:00"/>
        <d v="2026-01-23T08:08:00"/>
        <d v="2026-01-19T07:15:00"/>
        <d v="2026-01-21T07:03:00"/>
        <d v="2026-01-23T15:06:00"/>
        <d v="2026-01-18T05:26:00"/>
        <d v="2026-01-21T06:48:00"/>
        <d v="2026-01-21T01:58:00"/>
        <d v="2026-01-18T23:46:00"/>
        <d v="2026-01-29T05:59:00"/>
        <d v="2026-01-16T05:59:00"/>
        <d v="2026-01-10T18:38:00"/>
        <d v="2026-01-15T20:34:00"/>
        <d v="2026-01-28T16:29:00"/>
        <d v="2026-01-11T05:46:00"/>
        <d v="2026-01-06T00:47:00"/>
        <d v="2026-01-22T06:11:00"/>
        <d v="2026-01-17T10:05:00"/>
        <d v="2026-01-05T15:20:00"/>
        <d v="2026-01-13T07:28:00"/>
        <d v="2026-01-19T23:36:00"/>
        <d v="2026-01-12T22:15:00"/>
        <d v="2026-01-10T05:25:00"/>
        <d v="2026-01-04T20:58:00"/>
        <d v="2026-01-08T07:08:00"/>
        <d v="2026-01-24T19:23:00"/>
        <d v="2026-01-25T17:51:00"/>
        <d v="2026-01-08T21:48:00"/>
        <d v="2026-01-15T16:45:00"/>
        <d v="2026-01-04T01:53:00"/>
        <d v="2026-01-19T17:09:00"/>
        <d v="2026-01-15T03:43:00"/>
        <d v="2026-01-03T16:28:00"/>
        <d v="2026-01-17T13:29:00"/>
        <d v="2026-01-15T21:51:00"/>
        <d v="2026-01-09T00:47:00"/>
        <d v="2026-01-02T13:22:00"/>
        <d v="2026-01-30T02:59:00"/>
        <d v="2026-01-14T05:49:00"/>
        <d v="2026-01-29T12:28:00"/>
        <d v="2026-01-22T21:55:00"/>
        <d v="2026-01-28T11:07:00"/>
        <d v="2026-01-17T04:46:00"/>
        <d v="2026-01-01T09:29:00"/>
        <d v="2026-01-18T12:52:00"/>
        <d v="2026-01-12T04:17:00"/>
        <d v="2026-01-26T21:26:00"/>
        <d v="2026-01-07T02:06:00"/>
        <d v="2026-01-20T21:45:00"/>
        <d v="2026-01-02T12:28:00"/>
        <d v="2026-01-25T01:08:00"/>
        <d v="2026-01-27T23:36:00"/>
        <d v="2026-01-25T21:52:00"/>
        <d v="2026-01-29T04:42:00"/>
        <d v="2026-01-10T08:03:00"/>
        <d v="2026-01-30T05:40:00"/>
        <d v="2026-01-16T01:22:00"/>
        <d v="2026-01-17T10:44:00"/>
        <d v="2026-01-10T12:11:00"/>
        <d v="2026-01-28T07:19:00"/>
        <d v="2026-01-18T13:26:00"/>
        <d v="2026-01-13T07:16:00"/>
        <d v="2026-01-03T14:54:00"/>
        <d v="2026-01-24T06:03:00"/>
        <d v="2026-01-20T19:02:00"/>
        <d v="2026-01-19T23:42:00"/>
        <d v="2026-01-07T10:19:00"/>
        <d v="2026-01-24T03:47:00"/>
        <d v="2026-01-20T22:13:00"/>
        <d v="2026-01-11T09:24:00"/>
        <d v="2026-01-12T09:16:00"/>
        <d v="2026-01-15T03:51:00"/>
        <d v="2026-01-12T10:26:00"/>
        <d v="2026-01-24T04:01:00"/>
        <d v="2026-01-19T23:26:00"/>
        <d v="2026-01-11T07:24:00"/>
        <d v="2026-01-18T20:43:00"/>
        <d v="2026-01-27T15:46:00"/>
        <d v="2026-01-06T23:50:00"/>
        <d v="2026-01-24T17:31:00"/>
        <d v="2026-01-02T16:02:00"/>
        <d v="2026-01-01T13:08:00"/>
        <d v="2026-01-23T04:00:00"/>
        <d v="2026-01-12T01:39:00"/>
        <d v="2026-01-22T15:01:00"/>
        <d v="2026-01-14T00:01:00"/>
        <d v="2026-01-10T00:32:00"/>
        <d v="2026-01-04T03:33:00"/>
        <d v="2026-01-20T16:16:00"/>
        <d v="2026-01-03T11:25:00"/>
        <d v="2026-01-13T12:24:00"/>
        <d v="2026-01-21T00:44:00"/>
        <d v="2026-01-28T13:41:00"/>
        <d v="2026-01-29T16:58:00"/>
        <d v="2026-01-29T22:56:00"/>
        <d v="2026-01-02T02:43:00"/>
        <d v="2026-01-22T01:11:00"/>
        <d v="2026-01-19T04:48:00"/>
        <d v="2026-01-06T18:15:00"/>
        <d v="2026-01-29T17:21:00"/>
        <d v="2026-01-24T02:32:00"/>
        <d v="2026-01-14T07:53:00"/>
        <d v="2026-01-25T19:38:00"/>
        <d v="2026-01-21T08:50:00"/>
        <d v="2026-01-12T17:24:00"/>
        <d v="2026-01-19T21:24:00"/>
        <d v="2026-01-26T07:45:00"/>
        <d v="2026-01-05T12:45:00"/>
        <d v="2026-01-13T10:23:00"/>
        <d v="2026-01-10T14:23:00"/>
        <d v="2026-01-03T05:27:00"/>
        <d v="2026-01-17T13:06:00"/>
        <d v="2026-01-18T02:38:00"/>
        <d v="2026-01-01T09:26:00"/>
        <d v="2026-01-29T17:57:00"/>
        <d v="2026-01-06T21:24:00"/>
        <d v="2026-01-10T08:31:00"/>
        <d v="2026-01-14T08:26:00"/>
        <d v="2026-01-03T11:16:00"/>
        <d v="2026-01-30T06:00:00"/>
        <d v="2026-01-11T12:00:00"/>
        <d v="2026-01-21T14:00:00"/>
        <d v="2026-01-21T19:00:00"/>
        <d v="2026-01-16T12:00:00"/>
        <d v="2026-01-29T07:00:00"/>
        <d v="2026-01-23T11:00:00"/>
        <d v="2026-01-28T05:00:00"/>
        <d v="2026-01-25T22:00:00"/>
        <d v="2026-01-13T13:00:00"/>
        <d v="2026-01-20T07:00:00"/>
        <d v="2026-01-23T02:00:00"/>
        <d v="2026-01-23T17:00:00"/>
        <d v="2026-01-22T22:00:00"/>
        <d v="2026-01-18T21:00:00"/>
        <d v="2026-01-02T18:00:00"/>
        <d v="2026-01-02T18:01:00"/>
        <d v="2026-01-02T18:02:00"/>
        <d v="2026-01-02T18:03:00"/>
        <d v="2026-01-12T12:00:00"/>
        <d v="2026-01-12T12:01:00"/>
        <d v="2026-01-12T12:02:00"/>
        <d v="2026-01-12T12:03:00"/>
        <d v="2026-01-12T09:00:00"/>
        <d v="2026-01-12T09:01:00"/>
        <d v="2026-01-12T09:02:00"/>
        <d v="2026-01-12T09:03:00"/>
        <d v="2026-01-02T22:00:00"/>
        <d v="2026-01-02T22:01:00"/>
        <d v="2026-01-02T22:02:00"/>
        <d v="2026-01-02T22:03:00"/>
        <d v="2026-01-14T14:00:00"/>
        <d v="2026-01-14T14:01:00"/>
        <d v="2026-01-14T14:02:00"/>
        <d v="2026-01-14T14:03:00"/>
        <d v="2026-01-01T22:00:00"/>
        <d v="2026-01-01T22:01:00"/>
        <d v="2026-01-01T22:02:00"/>
        <d v="2026-01-01T22:03:00"/>
        <d v="2026-01-09T21:00:00"/>
        <d v="2026-01-09T21:01:00"/>
        <d v="2026-01-09T21:02:00"/>
        <d v="2026-01-09T21:03:00"/>
        <d v="2026-01-23T09:00:00"/>
        <d v="2026-01-23T09:01:00"/>
        <d v="2026-01-23T09:02:00"/>
        <d v="2026-01-23T09:03:00"/>
      </sharedItems>
      <fieldGroup par="16"/>
    </cacheField>
    <cacheField name="Short_date" numFmtId="14">
      <sharedItems containsSemiMixedTypes="0" containsNonDate="0" containsDate="1" containsString="0" minDate="2026-01-01T00:00:00" maxDate="2026-01-31T00:00:00" count="30">
        <d v="2026-01-29T00:00:00"/>
        <d v="2026-01-04T00:00:00"/>
        <d v="2026-01-24T00:00:00"/>
        <d v="2026-01-30T00:00:00"/>
        <d v="2026-01-06T00:00:00"/>
        <d v="2026-01-08T00:00:00"/>
        <d v="2026-01-27T00:00:00"/>
        <d v="2026-01-11T00:00:00"/>
        <d v="2026-01-21T00:00:00"/>
        <d v="2026-01-01T00:00:00"/>
        <d v="2026-01-09T00:00:00"/>
        <d v="2026-01-13T00:00:00"/>
        <d v="2026-01-14T00:00:00"/>
        <d v="2026-01-22T00:00:00"/>
        <d v="2026-01-05T00:00:00"/>
        <d v="2026-01-18T00:00:00"/>
        <d v="2026-01-26T00:00:00"/>
        <d v="2026-01-15T00:00:00"/>
        <d v="2026-01-17T00:00:00"/>
        <d v="2026-01-28T00:00:00"/>
        <d v="2026-01-23T00:00:00"/>
        <d v="2026-01-25T00:00:00"/>
        <d v="2026-01-02T00:00:00"/>
        <d v="2026-01-19T00:00:00"/>
        <d v="2026-01-16T00:00:00"/>
        <d v="2026-01-07T00:00:00"/>
        <d v="2026-01-20T00:00:00"/>
        <d v="2026-01-10T00:00:00"/>
        <d v="2026-01-12T00:00:00"/>
        <d v="2026-01-03T00:00:00"/>
      </sharedItems>
    </cacheField>
    <cacheField name="amount_inr" numFmtId="0">
      <sharedItems containsSemiMixedTypes="0" containsString="0" containsNumber="1" containsInteger="1" minValue="49" maxValue="4999"/>
    </cacheField>
    <cacheField name="payment_method" numFmtId="0">
      <sharedItems/>
    </cacheField>
    <cacheField name="status" numFmtId="0">
      <sharedItems count="3">
        <s v="captured"/>
        <s v="failed"/>
        <s v="chargeback"/>
      </sharedItems>
    </cacheField>
    <cacheField name="risk_score" numFmtId="0">
      <sharedItems containsSemiMixedTypes="0" containsString="0" containsNumber="1" containsInteger="1" minValue="0" maxValue="100"/>
    </cacheField>
    <cacheField name="Unique_Day_Flag" numFmtId="0">
      <sharedItems containsSemiMixedTypes="0" containsString="0" containsNumber="1" containsInteger="1" minValue="0" maxValue="1"/>
    </cacheField>
    <cacheField name="MDR_Fee" numFmtId="0">
      <sharedItems containsSemiMixedTypes="0" containsString="0" containsNumber="1" minValue="0" maxValue="2.5000000000000001E-2"/>
    </cacheField>
    <cacheField name="Minutes (transaction_time)" numFmtId="0" databaseField="0">
      <fieldGroup base="6">
        <rangePr groupBy="minutes" startDate="2026-01-01T02:14:00" endDate="2026-01-30T23:17:00"/>
        <groupItems count="62">
          <s v="&lt;01-01-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30-01-2026"/>
        </groupItems>
      </fieldGroup>
    </cacheField>
    <cacheField name="Hours (transaction_time)" numFmtId="0" databaseField="0">
      <fieldGroup base="6">
        <rangePr groupBy="hours" startDate="2026-01-01T02:14:00" endDate="2026-01-30T23:17:00"/>
        <groupItems count="26">
          <s v="&lt;01-01-2026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30-01-2026"/>
        </groupItems>
      </fieldGroup>
    </cacheField>
    <cacheField name="Days (transaction_time)" numFmtId="0" databaseField="0">
      <fieldGroup base="6">
        <rangePr groupBy="days" startDate="2026-01-01T02:14:00" endDate="2026-01-30T23:17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0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7">
  <r>
    <x v="0"/>
    <n v="350"/>
    <n v="16"/>
    <x v="0"/>
    <x v="0"/>
    <s v="bill_payment"/>
    <x v="0"/>
    <x v="0"/>
    <n v="2999"/>
    <s v="Wallet"/>
    <x v="0"/>
    <n v="85"/>
    <n v="1"/>
    <n v="1.4999999999999999E-2"/>
  </r>
  <r>
    <x v="1"/>
    <n v="287"/>
    <n v="27"/>
    <x v="1"/>
    <x v="1"/>
    <s v="ecommerce"/>
    <x v="1"/>
    <x v="1"/>
    <n v="49"/>
    <s v="UPI"/>
    <x v="0"/>
    <n v="79"/>
    <n v="1"/>
    <n v="0"/>
  </r>
  <r>
    <x v="2"/>
    <n v="122"/>
    <n v="11"/>
    <x v="2"/>
    <x v="1"/>
    <s v="ecommerce"/>
    <x v="2"/>
    <x v="2"/>
    <n v="1499"/>
    <s v="Wallet"/>
    <x v="0"/>
    <n v="22"/>
    <n v="1"/>
    <n v="1.4999999999999999E-2"/>
  </r>
  <r>
    <x v="3"/>
    <n v="92"/>
    <n v="22"/>
    <x v="3"/>
    <x v="2"/>
    <s v="travel"/>
    <x v="3"/>
    <x v="0"/>
    <n v="49"/>
    <s v="Netbanking"/>
    <x v="0"/>
    <n v="100"/>
    <n v="1"/>
    <n v="0.01"/>
  </r>
  <r>
    <x v="4"/>
    <n v="343"/>
    <n v="16"/>
    <x v="0"/>
    <x v="0"/>
    <s v="bill_payment"/>
    <x v="4"/>
    <x v="3"/>
    <n v="99"/>
    <s v="UPI"/>
    <x v="0"/>
    <n v="34"/>
    <n v="1"/>
    <n v="0"/>
  </r>
  <r>
    <x v="5"/>
    <n v="196"/>
    <n v="3"/>
    <x v="4"/>
    <x v="3"/>
    <s v="grocery"/>
    <x v="5"/>
    <x v="4"/>
    <n v="99"/>
    <s v="UPI"/>
    <x v="0"/>
    <n v="60"/>
    <n v="1"/>
    <n v="0"/>
  </r>
  <r>
    <x v="6"/>
    <n v="236"/>
    <n v="23"/>
    <x v="5"/>
    <x v="1"/>
    <s v="travel"/>
    <x v="6"/>
    <x v="5"/>
    <n v="99"/>
    <s v="Wallet"/>
    <x v="0"/>
    <n v="39"/>
    <n v="1"/>
    <n v="1.4999999999999999E-2"/>
  </r>
  <r>
    <x v="7"/>
    <n v="13"/>
    <n v="13"/>
    <x v="6"/>
    <x v="3"/>
    <s v="travel"/>
    <x v="7"/>
    <x v="6"/>
    <n v="99"/>
    <s v="UPI"/>
    <x v="0"/>
    <n v="51"/>
    <n v="1"/>
    <n v="0"/>
  </r>
  <r>
    <x v="8"/>
    <n v="36"/>
    <n v="18"/>
    <x v="7"/>
    <x v="0"/>
    <s v="grocery"/>
    <x v="8"/>
    <x v="7"/>
    <n v="799"/>
    <s v="UPI"/>
    <x v="0"/>
    <n v="44"/>
    <n v="1"/>
    <n v="0"/>
  </r>
  <r>
    <x v="9"/>
    <n v="348"/>
    <n v="35"/>
    <x v="8"/>
    <x v="3"/>
    <s v="recharge"/>
    <x v="9"/>
    <x v="8"/>
    <n v="299"/>
    <s v="UPI"/>
    <x v="0"/>
    <n v="42"/>
    <n v="1"/>
    <n v="0"/>
  </r>
  <r>
    <x v="10"/>
    <n v="134"/>
    <n v="12"/>
    <x v="9"/>
    <x v="3"/>
    <s v="ecommerce"/>
    <x v="10"/>
    <x v="9"/>
    <n v="49"/>
    <s v="UPI"/>
    <x v="0"/>
    <n v="74"/>
    <n v="1"/>
    <n v="0"/>
  </r>
  <r>
    <x v="11"/>
    <n v="306"/>
    <n v="28"/>
    <x v="10"/>
    <x v="2"/>
    <s v="ecommerce"/>
    <x v="11"/>
    <x v="10"/>
    <n v="2999"/>
    <s v="Card"/>
    <x v="1"/>
    <n v="44"/>
    <n v="1"/>
    <n v="2.5000000000000001E-2"/>
  </r>
  <r>
    <x v="12"/>
    <n v="311"/>
    <n v="33"/>
    <x v="11"/>
    <x v="3"/>
    <s v="bill_payment"/>
    <x v="12"/>
    <x v="2"/>
    <n v="49"/>
    <s v="Wallet"/>
    <x v="0"/>
    <n v="14"/>
    <n v="1"/>
    <n v="1.4999999999999999E-2"/>
  </r>
  <r>
    <x v="13"/>
    <n v="131"/>
    <n v="3"/>
    <x v="4"/>
    <x v="3"/>
    <s v="grocery"/>
    <x v="13"/>
    <x v="11"/>
    <n v="49"/>
    <s v="UPI"/>
    <x v="0"/>
    <n v="90"/>
    <n v="1"/>
    <n v="0"/>
  </r>
  <r>
    <x v="14"/>
    <n v="276"/>
    <n v="13"/>
    <x v="6"/>
    <x v="3"/>
    <s v="travel"/>
    <x v="14"/>
    <x v="12"/>
    <n v="1499"/>
    <s v="UPI"/>
    <x v="0"/>
    <n v="46"/>
    <n v="1"/>
    <n v="0"/>
  </r>
  <r>
    <x v="15"/>
    <n v="170"/>
    <n v="40"/>
    <x v="12"/>
    <x v="2"/>
    <s v="entertainment"/>
    <x v="15"/>
    <x v="12"/>
    <n v="99"/>
    <s v="UPI"/>
    <x v="0"/>
    <n v="40"/>
    <n v="1"/>
    <n v="0"/>
  </r>
  <r>
    <x v="16"/>
    <n v="154"/>
    <n v="33"/>
    <x v="11"/>
    <x v="3"/>
    <s v="bill_payment"/>
    <x v="16"/>
    <x v="13"/>
    <n v="99"/>
    <s v="Netbanking"/>
    <x v="0"/>
    <n v="39"/>
    <n v="1"/>
    <n v="0.01"/>
  </r>
  <r>
    <x v="17"/>
    <n v="207"/>
    <n v="19"/>
    <x v="13"/>
    <x v="1"/>
    <s v="grocery"/>
    <x v="17"/>
    <x v="13"/>
    <n v="2999"/>
    <s v="Card"/>
    <x v="0"/>
    <n v="70"/>
    <n v="1"/>
    <n v="2.5000000000000001E-2"/>
  </r>
  <r>
    <x v="18"/>
    <n v="341"/>
    <n v="25"/>
    <x v="14"/>
    <x v="2"/>
    <s v="travel"/>
    <x v="18"/>
    <x v="14"/>
    <n v="2999"/>
    <s v="UPI"/>
    <x v="0"/>
    <n v="86"/>
    <n v="1"/>
    <n v="0"/>
  </r>
  <r>
    <x v="19"/>
    <n v="292"/>
    <n v="20"/>
    <x v="15"/>
    <x v="3"/>
    <s v="food_delivery"/>
    <x v="19"/>
    <x v="2"/>
    <n v="49"/>
    <s v="UPI"/>
    <x v="0"/>
    <n v="51"/>
    <n v="1"/>
    <n v="0"/>
  </r>
  <r>
    <x v="20"/>
    <n v="147"/>
    <n v="14"/>
    <x v="16"/>
    <x v="3"/>
    <s v="grocery"/>
    <x v="20"/>
    <x v="15"/>
    <n v="99"/>
    <s v="Card"/>
    <x v="0"/>
    <n v="55"/>
    <n v="1"/>
    <n v="2.5000000000000001E-2"/>
  </r>
  <r>
    <x v="21"/>
    <n v="336"/>
    <n v="21"/>
    <x v="17"/>
    <x v="3"/>
    <s v="food_delivery"/>
    <x v="21"/>
    <x v="16"/>
    <n v="99"/>
    <s v="UPI"/>
    <x v="0"/>
    <n v="59"/>
    <n v="1"/>
    <n v="0"/>
  </r>
  <r>
    <x v="22"/>
    <n v="110"/>
    <n v="33"/>
    <x v="11"/>
    <x v="3"/>
    <s v="bill_payment"/>
    <x v="22"/>
    <x v="17"/>
    <n v="799"/>
    <s v="UPI"/>
    <x v="0"/>
    <n v="60"/>
    <n v="1"/>
    <n v="0"/>
  </r>
  <r>
    <x v="23"/>
    <n v="338"/>
    <n v="6"/>
    <x v="18"/>
    <x v="2"/>
    <s v="food_delivery"/>
    <x v="23"/>
    <x v="16"/>
    <n v="799"/>
    <s v="UPI"/>
    <x v="2"/>
    <n v="36"/>
    <n v="1"/>
    <n v="0"/>
  </r>
  <r>
    <x v="24"/>
    <n v="318"/>
    <n v="22"/>
    <x v="3"/>
    <x v="2"/>
    <s v="travel"/>
    <x v="24"/>
    <x v="18"/>
    <n v="799"/>
    <s v="Wallet"/>
    <x v="0"/>
    <n v="11"/>
    <n v="1"/>
    <n v="1.4999999999999999E-2"/>
  </r>
  <r>
    <x v="25"/>
    <n v="159"/>
    <n v="15"/>
    <x v="19"/>
    <x v="1"/>
    <s v="travel"/>
    <x v="25"/>
    <x v="6"/>
    <n v="799"/>
    <s v="UPI"/>
    <x v="0"/>
    <n v="25"/>
    <n v="1"/>
    <n v="0"/>
  </r>
  <r>
    <x v="26"/>
    <n v="126"/>
    <n v="31"/>
    <x v="20"/>
    <x v="3"/>
    <s v="bill_payment"/>
    <x v="26"/>
    <x v="14"/>
    <n v="49"/>
    <s v="Card"/>
    <x v="0"/>
    <n v="78"/>
    <n v="1"/>
    <n v="2.5000000000000001E-2"/>
  </r>
  <r>
    <x v="27"/>
    <n v="213"/>
    <n v="37"/>
    <x v="21"/>
    <x v="2"/>
    <s v="entertainment"/>
    <x v="27"/>
    <x v="19"/>
    <n v="99"/>
    <s v="UPI"/>
    <x v="0"/>
    <n v="24"/>
    <n v="1"/>
    <n v="0"/>
  </r>
  <r>
    <x v="28"/>
    <n v="254"/>
    <n v="26"/>
    <x v="22"/>
    <x v="3"/>
    <s v="food_delivery"/>
    <x v="28"/>
    <x v="20"/>
    <n v="99"/>
    <s v="Wallet"/>
    <x v="0"/>
    <n v="31"/>
    <n v="1"/>
    <n v="1.4999999999999999E-2"/>
  </r>
  <r>
    <x v="29"/>
    <n v="3"/>
    <n v="7"/>
    <x v="23"/>
    <x v="3"/>
    <s v="food_delivery"/>
    <x v="29"/>
    <x v="14"/>
    <n v="1499"/>
    <s v="UPI"/>
    <x v="0"/>
    <n v="99"/>
    <n v="1"/>
    <n v="0"/>
  </r>
  <r>
    <x v="30"/>
    <n v="266"/>
    <n v="30"/>
    <x v="24"/>
    <x v="0"/>
    <s v="travel"/>
    <x v="30"/>
    <x v="12"/>
    <n v="499"/>
    <s v="Card"/>
    <x v="0"/>
    <n v="6"/>
    <n v="1"/>
    <n v="2.5000000000000001E-2"/>
  </r>
  <r>
    <x v="31"/>
    <n v="63"/>
    <n v="30"/>
    <x v="24"/>
    <x v="0"/>
    <s v="travel"/>
    <x v="31"/>
    <x v="15"/>
    <n v="799"/>
    <s v="UPI"/>
    <x v="0"/>
    <n v="17"/>
    <n v="1"/>
    <n v="0"/>
  </r>
  <r>
    <x v="32"/>
    <n v="272"/>
    <n v="36"/>
    <x v="25"/>
    <x v="3"/>
    <s v="entertainment"/>
    <x v="32"/>
    <x v="16"/>
    <n v="149"/>
    <s v="UPI"/>
    <x v="0"/>
    <n v="76"/>
    <n v="1"/>
    <n v="0"/>
  </r>
  <r>
    <x v="33"/>
    <n v="259"/>
    <n v="28"/>
    <x v="10"/>
    <x v="2"/>
    <s v="ecommerce"/>
    <x v="33"/>
    <x v="7"/>
    <n v="49"/>
    <s v="Wallet"/>
    <x v="0"/>
    <n v="70"/>
    <n v="1"/>
    <n v="1.4999999999999999E-2"/>
  </r>
  <r>
    <x v="34"/>
    <n v="244"/>
    <n v="29"/>
    <x v="26"/>
    <x v="1"/>
    <s v="ecommerce"/>
    <x v="34"/>
    <x v="17"/>
    <n v="299"/>
    <s v="Netbanking"/>
    <x v="0"/>
    <n v="33"/>
    <n v="1"/>
    <n v="0.01"/>
  </r>
  <r>
    <x v="35"/>
    <n v="327"/>
    <n v="18"/>
    <x v="7"/>
    <x v="0"/>
    <s v="grocery"/>
    <x v="35"/>
    <x v="21"/>
    <n v="149"/>
    <s v="Card"/>
    <x v="0"/>
    <n v="98"/>
    <n v="1"/>
    <n v="2.5000000000000001E-2"/>
  </r>
  <r>
    <x v="36"/>
    <n v="321"/>
    <n v="16"/>
    <x v="0"/>
    <x v="0"/>
    <s v="bill_payment"/>
    <x v="36"/>
    <x v="21"/>
    <n v="49"/>
    <s v="UPI"/>
    <x v="0"/>
    <n v="35"/>
    <n v="1"/>
    <n v="0"/>
  </r>
  <r>
    <x v="37"/>
    <n v="147"/>
    <n v="16"/>
    <x v="0"/>
    <x v="0"/>
    <s v="bill_payment"/>
    <x v="37"/>
    <x v="17"/>
    <n v="2999"/>
    <s v="Card"/>
    <x v="0"/>
    <n v="34"/>
    <n v="1"/>
    <n v="2.5000000000000001E-2"/>
  </r>
  <r>
    <x v="38"/>
    <n v="277"/>
    <n v="6"/>
    <x v="18"/>
    <x v="2"/>
    <s v="food_delivery"/>
    <x v="38"/>
    <x v="7"/>
    <n v="1499"/>
    <s v="Card"/>
    <x v="0"/>
    <n v="17"/>
    <n v="1"/>
    <n v="2.5000000000000001E-2"/>
  </r>
  <r>
    <x v="39"/>
    <n v="79"/>
    <n v="14"/>
    <x v="16"/>
    <x v="3"/>
    <s v="grocery"/>
    <x v="39"/>
    <x v="14"/>
    <n v="1499"/>
    <s v="UPI"/>
    <x v="0"/>
    <n v="8"/>
    <n v="1"/>
    <n v="0"/>
  </r>
  <r>
    <x v="40"/>
    <n v="278"/>
    <n v="30"/>
    <x v="24"/>
    <x v="0"/>
    <s v="travel"/>
    <x v="40"/>
    <x v="12"/>
    <n v="1499"/>
    <s v="UPI"/>
    <x v="0"/>
    <n v="53"/>
    <n v="0"/>
    <n v="0"/>
  </r>
  <r>
    <x v="41"/>
    <n v="216"/>
    <n v="25"/>
    <x v="14"/>
    <x v="2"/>
    <s v="travel"/>
    <x v="41"/>
    <x v="22"/>
    <n v="99"/>
    <s v="UPI"/>
    <x v="0"/>
    <n v="98"/>
    <n v="1"/>
    <n v="0"/>
  </r>
  <r>
    <x v="42"/>
    <n v="295"/>
    <n v="25"/>
    <x v="14"/>
    <x v="2"/>
    <s v="travel"/>
    <x v="42"/>
    <x v="23"/>
    <n v="1499"/>
    <s v="UPI"/>
    <x v="0"/>
    <n v="61"/>
    <n v="1"/>
    <n v="0"/>
  </r>
  <r>
    <x v="43"/>
    <n v="200"/>
    <n v="27"/>
    <x v="1"/>
    <x v="1"/>
    <s v="ecommerce"/>
    <x v="43"/>
    <x v="9"/>
    <n v="149"/>
    <s v="UPI"/>
    <x v="0"/>
    <n v="68"/>
    <n v="1"/>
    <n v="0"/>
  </r>
  <r>
    <x v="44"/>
    <n v="309"/>
    <n v="15"/>
    <x v="19"/>
    <x v="1"/>
    <s v="travel"/>
    <x v="44"/>
    <x v="2"/>
    <n v="99"/>
    <s v="Netbanking"/>
    <x v="0"/>
    <n v="62"/>
    <n v="1"/>
    <n v="0.01"/>
  </r>
  <r>
    <x v="45"/>
    <n v="249"/>
    <n v="2"/>
    <x v="27"/>
    <x v="0"/>
    <s v="grocery"/>
    <x v="45"/>
    <x v="5"/>
    <n v="299"/>
    <s v="Wallet"/>
    <x v="0"/>
    <n v="49"/>
    <n v="1"/>
    <n v="1.4999999999999999E-2"/>
  </r>
  <r>
    <x v="46"/>
    <n v="208"/>
    <n v="11"/>
    <x v="2"/>
    <x v="1"/>
    <s v="ecommerce"/>
    <x v="46"/>
    <x v="7"/>
    <n v="4999"/>
    <s v="Netbanking"/>
    <x v="0"/>
    <n v="59"/>
    <n v="1"/>
    <n v="0.01"/>
  </r>
  <r>
    <x v="47"/>
    <n v="274"/>
    <n v="2"/>
    <x v="27"/>
    <x v="0"/>
    <s v="grocery"/>
    <x v="47"/>
    <x v="3"/>
    <n v="299"/>
    <s v="UPI"/>
    <x v="0"/>
    <n v="50"/>
    <n v="1"/>
    <n v="0"/>
  </r>
  <r>
    <x v="48"/>
    <n v="14"/>
    <n v="6"/>
    <x v="18"/>
    <x v="2"/>
    <s v="food_delivery"/>
    <x v="48"/>
    <x v="23"/>
    <n v="49"/>
    <s v="Wallet"/>
    <x v="0"/>
    <n v="82"/>
    <n v="1"/>
    <n v="1.4999999999999999E-2"/>
  </r>
  <r>
    <x v="49"/>
    <n v="237"/>
    <n v="12"/>
    <x v="9"/>
    <x v="3"/>
    <s v="ecommerce"/>
    <x v="49"/>
    <x v="12"/>
    <n v="49"/>
    <s v="UPI"/>
    <x v="0"/>
    <n v="6"/>
    <n v="1"/>
    <n v="0"/>
  </r>
  <r>
    <x v="50"/>
    <n v="109"/>
    <n v="30"/>
    <x v="24"/>
    <x v="0"/>
    <s v="travel"/>
    <x v="50"/>
    <x v="10"/>
    <n v="99"/>
    <s v="UPI"/>
    <x v="0"/>
    <n v="41"/>
    <n v="1"/>
    <n v="0"/>
  </r>
  <r>
    <x v="51"/>
    <n v="216"/>
    <n v="17"/>
    <x v="28"/>
    <x v="1"/>
    <s v="grocery"/>
    <x v="51"/>
    <x v="7"/>
    <n v="4999"/>
    <s v="UPI"/>
    <x v="0"/>
    <n v="10"/>
    <n v="1"/>
    <n v="0"/>
  </r>
  <r>
    <x v="52"/>
    <n v="277"/>
    <n v="4"/>
    <x v="29"/>
    <x v="3"/>
    <s v="ecommerce"/>
    <x v="52"/>
    <x v="24"/>
    <n v="799"/>
    <s v="UPI"/>
    <x v="0"/>
    <n v="44"/>
    <n v="1"/>
    <n v="0"/>
  </r>
  <r>
    <x v="53"/>
    <n v="334"/>
    <n v="3"/>
    <x v="4"/>
    <x v="3"/>
    <s v="grocery"/>
    <x v="53"/>
    <x v="5"/>
    <n v="149"/>
    <s v="Wallet"/>
    <x v="0"/>
    <n v="96"/>
    <n v="1"/>
    <n v="1.4999999999999999E-2"/>
  </r>
  <r>
    <x v="54"/>
    <n v="11"/>
    <n v="40"/>
    <x v="12"/>
    <x v="2"/>
    <s v="entertainment"/>
    <x v="54"/>
    <x v="9"/>
    <n v="299"/>
    <s v="UPI"/>
    <x v="0"/>
    <n v="19"/>
    <n v="1"/>
    <n v="0"/>
  </r>
  <r>
    <x v="55"/>
    <n v="343"/>
    <n v="8"/>
    <x v="30"/>
    <x v="1"/>
    <s v="food_delivery"/>
    <x v="55"/>
    <x v="5"/>
    <n v="99"/>
    <s v="UPI"/>
    <x v="0"/>
    <n v="72"/>
    <n v="1"/>
    <n v="0"/>
  </r>
  <r>
    <x v="56"/>
    <n v="132"/>
    <n v="24"/>
    <x v="31"/>
    <x v="1"/>
    <s v="grocery"/>
    <x v="56"/>
    <x v="25"/>
    <n v="299"/>
    <s v="Wallet"/>
    <x v="0"/>
    <n v="21"/>
    <n v="1"/>
    <n v="1.4999999999999999E-2"/>
  </r>
  <r>
    <x v="57"/>
    <n v="59"/>
    <n v="11"/>
    <x v="2"/>
    <x v="1"/>
    <s v="ecommerce"/>
    <x v="57"/>
    <x v="26"/>
    <n v="299"/>
    <s v="UPI"/>
    <x v="0"/>
    <n v="39"/>
    <n v="1"/>
    <n v="0"/>
  </r>
  <r>
    <x v="58"/>
    <n v="160"/>
    <n v="37"/>
    <x v="21"/>
    <x v="2"/>
    <s v="entertainment"/>
    <x v="58"/>
    <x v="1"/>
    <n v="49"/>
    <s v="Wallet"/>
    <x v="0"/>
    <n v="86"/>
    <n v="1"/>
    <n v="1.4999999999999999E-2"/>
  </r>
  <r>
    <x v="59"/>
    <n v="102"/>
    <n v="5"/>
    <x v="32"/>
    <x v="2"/>
    <s v="recharge"/>
    <x v="59"/>
    <x v="3"/>
    <n v="2999"/>
    <s v="UPI"/>
    <x v="0"/>
    <n v="75"/>
    <n v="1"/>
    <n v="0"/>
  </r>
  <r>
    <x v="60"/>
    <n v="53"/>
    <n v="20"/>
    <x v="15"/>
    <x v="3"/>
    <s v="food_delivery"/>
    <x v="60"/>
    <x v="20"/>
    <n v="49"/>
    <s v="Netbanking"/>
    <x v="0"/>
    <n v="87"/>
    <n v="1"/>
    <n v="0.01"/>
  </r>
  <r>
    <x v="61"/>
    <n v="290"/>
    <n v="3"/>
    <x v="4"/>
    <x v="3"/>
    <s v="grocery"/>
    <x v="61"/>
    <x v="26"/>
    <n v="99"/>
    <s v="Wallet"/>
    <x v="0"/>
    <n v="44"/>
    <n v="1"/>
    <n v="1.4999999999999999E-2"/>
  </r>
  <r>
    <x v="62"/>
    <n v="190"/>
    <n v="5"/>
    <x v="32"/>
    <x v="2"/>
    <s v="recharge"/>
    <x v="62"/>
    <x v="15"/>
    <n v="299"/>
    <s v="UPI"/>
    <x v="0"/>
    <n v="64"/>
    <n v="1"/>
    <n v="0"/>
  </r>
  <r>
    <x v="63"/>
    <n v="216"/>
    <n v="32"/>
    <x v="33"/>
    <x v="0"/>
    <s v="food_delivery"/>
    <x v="63"/>
    <x v="8"/>
    <n v="49"/>
    <s v="Card"/>
    <x v="0"/>
    <n v="13"/>
    <n v="1"/>
    <n v="2.5000000000000001E-2"/>
  </r>
  <r>
    <x v="64"/>
    <n v="236"/>
    <n v="10"/>
    <x v="34"/>
    <x v="0"/>
    <s v="grocery"/>
    <x v="64"/>
    <x v="12"/>
    <n v="499"/>
    <s v="UPI"/>
    <x v="0"/>
    <n v="55"/>
    <n v="1"/>
    <n v="0"/>
  </r>
  <r>
    <x v="65"/>
    <n v="334"/>
    <n v="18"/>
    <x v="7"/>
    <x v="0"/>
    <s v="grocery"/>
    <x v="65"/>
    <x v="4"/>
    <n v="499"/>
    <s v="Card"/>
    <x v="0"/>
    <n v="78"/>
    <n v="1"/>
    <n v="2.5000000000000001E-2"/>
  </r>
  <r>
    <x v="66"/>
    <n v="248"/>
    <n v="30"/>
    <x v="24"/>
    <x v="0"/>
    <s v="travel"/>
    <x v="66"/>
    <x v="16"/>
    <n v="799"/>
    <s v="Wallet"/>
    <x v="0"/>
    <n v="55"/>
    <n v="1"/>
    <n v="1.4999999999999999E-2"/>
  </r>
  <r>
    <x v="67"/>
    <n v="138"/>
    <n v="21"/>
    <x v="17"/>
    <x v="3"/>
    <s v="food_delivery"/>
    <x v="67"/>
    <x v="6"/>
    <n v="49"/>
    <s v="Card"/>
    <x v="0"/>
    <n v="31"/>
    <n v="1"/>
    <n v="2.5000000000000001E-2"/>
  </r>
  <r>
    <x v="68"/>
    <n v="231"/>
    <n v="16"/>
    <x v="0"/>
    <x v="0"/>
    <s v="bill_payment"/>
    <x v="68"/>
    <x v="6"/>
    <n v="49"/>
    <s v="UPI"/>
    <x v="0"/>
    <n v="96"/>
    <n v="1"/>
    <n v="0"/>
  </r>
  <r>
    <x v="69"/>
    <n v="343"/>
    <n v="25"/>
    <x v="14"/>
    <x v="2"/>
    <s v="travel"/>
    <x v="69"/>
    <x v="17"/>
    <n v="49"/>
    <s v="UPI"/>
    <x v="0"/>
    <n v="43"/>
    <n v="1"/>
    <n v="0"/>
  </r>
  <r>
    <x v="70"/>
    <n v="167"/>
    <n v="12"/>
    <x v="9"/>
    <x v="3"/>
    <s v="ecommerce"/>
    <x v="70"/>
    <x v="9"/>
    <n v="499"/>
    <s v="Wallet"/>
    <x v="0"/>
    <n v="62"/>
    <n v="0"/>
    <n v="1.4999999999999999E-2"/>
  </r>
  <r>
    <x v="71"/>
    <n v="133"/>
    <n v="22"/>
    <x v="3"/>
    <x v="2"/>
    <s v="travel"/>
    <x v="71"/>
    <x v="25"/>
    <n v="499"/>
    <s v="UPI"/>
    <x v="0"/>
    <n v="35"/>
    <n v="1"/>
    <n v="0"/>
  </r>
  <r>
    <x v="72"/>
    <n v="142"/>
    <n v="36"/>
    <x v="25"/>
    <x v="3"/>
    <s v="entertainment"/>
    <x v="72"/>
    <x v="0"/>
    <n v="799"/>
    <s v="Wallet"/>
    <x v="0"/>
    <n v="1"/>
    <n v="1"/>
    <n v="1.4999999999999999E-2"/>
  </r>
  <r>
    <x v="73"/>
    <n v="124"/>
    <n v="27"/>
    <x v="1"/>
    <x v="1"/>
    <s v="ecommerce"/>
    <x v="73"/>
    <x v="18"/>
    <n v="499"/>
    <s v="Wallet"/>
    <x v="0"/>
    <n v="62"/>
    <n v="1"/>
    <n v="1.4999999999999999E-2"/>
  </r>
  <r>
    <x v="74"/>
    <n v="244"/>
    <n v="32"/>
    <x v="33"/>
    <x v="0"/>
    <s v="food_delivery"/>
    <x v="74"/>
    <x v="15"/>
    <n v="149"/>
    <s v="UPI"/>
    <x v="0"/>
    <n v="57"/>
    <n v="1"/>
    <n v="0"/>
  </r>
  <r>
    <x v="75"/>
    <n v="151"/>
    <n v="15"/>
    <x v="19"/>
    <x v="1"/>
    <s v="travel"/>
    <x v="75"/>
    <x v="16"/>
    <n v="4999"/>
    <s v="UPI"/>
    <x v="0"/>
    <n v="51"/>
    <n v="1"/>
    <n v="0"/>
  </r>
  <r>
    <x v="76"/>
    <n v="340"/>
    <n v="38"/>
    <x v="35"/>
    <x v="3"/>
    <s v="grocery"/>
    <x v="76"/>
    <x v="20"/>
    <n v="499"/>
    <s v="Card"/>
    <x v="0"/>
    <n v="47"/>
    <n v="1"/>
    <n v="2.5000000000000001E-2"/>
  </r>
  <r>
    <x v="77"/>
    <n v="177"/>
    <n v="28"/>
    <x v="10"/>
    <x v="2"/>
    <s v="ecommerce"/>
    <x v="77"/>
    <x v="24"/>
    <n v="299"/>
    <s v="UPI"/>
    <x v="0"/>
    <n v="95"/>
    <n v="1"/>
    <n v="0"/>
  </r>
  <r>
    <x v="78"/>
    <n v="233"/>
    <n v="18"/>
    <x v="7"/>
    <x v="0"/>
    <s v="grocery"/>
    <x v="78"/>
    <x v="15"/>
    <n v="499"/>
    <s v="UPI"/>
    <x v="0"/>
    <n v="39"/>
    <n v="1"/>
    <n v="0"/>
  </r>
  <r>
    <x v="79"/>
    <n v="99"/>
    <n v="21"/>
    <x v="17"/>
    <x v="3"/>
    <s v="food_delivery"/>
    <x v="79"/>
    <x v="10"/>
    <n v="499"/>
    <s v="UPI"/>
    <x v="0"/>
    <n v="15"/>
    <n v="1"/>
    <n v="0"/>
  </r>
  <r>
    <x v="80"/>
    <n v="95"/>
    <n v="13"/>
    <x v="6"/>
    <x v="3"/>
    <s v="travel"/>
    <x v="80"/>
    <x v="2"/>
    <n v="2999"/>
    <s v="Netbanking"/>
    <x v="1"/>
    <n v="27"/>
    <n v="1"/>
    <n v="0.01"/>
  </r>
  <r>
    <x v="81"/>
    <n v="302"/>
    <n v="34"/>
    <x v="36"/>
    <x v="2"/>
    <s v="travel"/>
    <x v="81"/>
    <x v="2"/>
    <n v="49"/>
    <s v="Netbanking"/>
    <x v="0"/>
    <n v="76"/>
    <n v="1"/>
    <n v="0.01"/>
  </r>
  <r>
    <x v="82"/>
    <n v="100"/>
    <n v="19"/>
    <x v="13"/>
    <x v="1"/>
    <s v="grocery"/>
    <x v="82"/>
    <x v="27"/>
    <n v="2999"/>
    <s v="Netbanking"/>
    <x v="0"/>
    <n v="29"/>
    <n v="1"/>
    <n v="0.01"/>
  </r>
  <r>
    <x v="83"/>
    <n v="8"/>
    <n v="35"/>
    <x v="8"/>
    <x v="3"/>
    <s v="recharge"/>
    <x v="83"/>
    <x v="28"/>
    <n v="99"/>
    <s v="UPI"/>
    <x v="0"/>
    <n v="16"/>
    <n v="1"/>
    <n v="0"/>
  </r>
  <r>
    <x v="84"/>
    <n v="284"/>
    <n v="19"/>
    <x v="13"/>
    <x v="1"/>
    <s v="grocery"/>
    <x v="84"/>
    <x v="10"/>
    <n v="99"/>
    <s v="UPI"/>
    <x v="0"/>
    <n v="89"/>
    <n v="1"/>
    <n v="0"/>
  </r>
  <r>
    <x v="85"/>
    <n v="252"/>
    <n v="7"/>
    <x v="23"/>
    <x v="3"/>
    <s v="food_delivery"/>
    <x v="85"/>
    <x v="14"/>
    <n v="2999"/>
    <s v="Wallet"/>
    <x v="0"/>
    <n v="1"/>
    <n v="0"/>
    <n v="1.4999999999999999E-2"/>
  </r>
  <r>
    <x v="86"/>
    <n v="246"/>
    <n v="29"/>
    <x v="26"/>
    <x v="1"/>
    <s v="ecommerce"/>
    <x v="86"/>
    <x v="23"/>
    <n v="49"/>
    <s v="Wallet"/>
    <x v="0"/>
    <n v="43"/>
    <n v="1"/>
    <n v="1.4999999999999999E-2"/>
  </r>
  <r>
    <x v="87"/>
    <n v="245"/>
    <n v="8"/>
    <x v="30"/>
    <x v="1"/>
    <s v="food_delivery"/>
    <x v="87"/>
    <x v="4"/>
    <n v="49"/>
    <s v="UPI"/>
    <x v="2"/>
    <n v="8"/>
    <n v="1"/>
    <n v="0"/>
  </r>
  <r>
    <x v="88"/>
    <n v="296"/>
    <n v="4"/>
    <x v="29"/>
    <x v="3"/>
    <s v="ecommerce"/>
    <x v="88"/>
    <x v="11"/>
    <n v="799"/>
    <s v="Wallet"/>
    <x v="0"/>
    <n v="19"/>
    <n v="1"/>
    <n v="1.4999999999999999E-2"/>
  </r>
  <r>
    <x v="89"/>
    <n v="44"/>
    <n v="16"/>
    <x v="0"/>
    <x v="0"/>
    <s v="bill_payment"/>
    <x v="89"/>
    <x v="14"/>
    <n v="149"/>
    <s v="UPI"/>
    <x v="0"/>
    <n v="15"/>
    <n v="1"/>
    <n v="0"/>
  </r>
  <r>
    <x v="90"/>
    <n v="306"/>
    <n v="40"/>
    <x v="12"/>
    <x v="2"/>
    <s v="entertainment"/>
    <x v="90"/>
    <x v="15"/>
    <n v="799"/>
    <s v="Card"/>
    <x v="0"/>
    <n v="28"/>
    <n v="1"/>
    <n v="2.5000000000000001E-2"/>
  </r>
  <r>
    <x v="91"/>
    <n v="231"/>
    <n v="29"/>
    <x v="26"/>
    <x v="1"/>
    <s v="ecommerce"/>
    <x v="91"/>
    <x v="21"/>
    <n v="299"/>
    <s v="UPI"/>
    <x v="0"/>
    <n v="38"/>
    <n v="1"/>
    <n v="0"/>
  </r>
  <r>
    <x v="92"/>
    <n v="157"/>
    <n v="37"/>
    <x v="21"/>
    <x v="2"/>
    <s v="entertainment"/>
    <x v="92"/>
    <x v="19"/>
    <n v="499"/>
    <s v="Wallet"/>
    <x v="0"/>
    <n v="79"/>
    <n v="0"/>
    <n v="1.4999999999999999E-2"/>
  </r>
  <r>
    <x v="93"/>
    <n v="51"/>
    <n v="14"/>
    <x v="16"/>
    <x v="3"/>
    <s v="grocery"/>
    <x v="93"/>
    <x v="22"/>
    <n v="1499"/>
    <s v="UPI"/>
    <x v="0"/>
    <n v="80"/>
    <n v="1"/>
    <n v="0"/>
  </r>
  <r>
    <x v="94"/>
    <n v="42"/>
    <n v="11"/>
    <x v="2"/>
    <x v="1"/>
    <s v="ecommerce"/>
    <x v="94"/>
    <x v="25"/>
    <n v="49"/>
    <s v="Wallet"/>
    <x v="0"/>
    <n v="30"/>
    <n v="1"/>
    <n v="1.4999999999999999E-2"/>
  </r>
  <r>
    <x v="95"/>
    <n v="81"/>
    <n v="1"/>
    <x v="37"/>
    <x v="2"/>
    <s v="ecommerce"/>
    <x v="95"/>
    <x v="4"/>
    <n v="149"/>
    <s v="UPI"/>
    <x v="0"/>
    <n v="52"/>
    <n v="1"/>
    <n v="0"/>
  </r>
  <r>
    <x v="96"/>
    <n v="241"/>
    <n v="19"/>
    <x v="13"/>
    <x v="1"/>
    <s v="grocery"/>
    <x v="96"/>
    <x v="17"/>
    <n v="299"/>
    <s v="UPI"/>
    <x v="0"/>
    <n v="4"/>
    <n v="1"/>
    <n v="0"/>
  </r>
  <r>
    <x v="97"/>
    <n v="145"/>
    <n v="30"/>
    <x v="24"/>
    <x v="0"/>
    <s v="travel"/>
    <x v="97"/>
    <x v="5"/>
    <n v="799"/>
    <s v="UPI"/>
    <x v="0"/>
    <n v="9"/>
    <n v="1"/>
    <n v="0"/>
  </r>
  <r>
    <x v="98"/>
    <n v="136"/>
    <n v="38"/>
    <x v="35"/>
    <x v="3"/>
    <s v="grocery"/>
    <x v="98"/>
    <x v="13"/>
    <n v="299"/>
    <s v="Card"/>
    <x v="0"/>
    <n v="84"/>
    <n v="1"/>
    <n v="2.5000000000000001E-2"/>
  </r>
  <r>
    <x v="99"/>
    <n v="59"/>
    <n v="35"/>
    <x v="8"/>
    <x v="3"/>
    <s v="recharge"/>
    <x v="99"/>
    <x v="16"/>
    <n v="499"/>
    <s v="UPI"/>
    <x v="0"/>
    <n v="28"/>
    <n v="1"/>
    <n v="0"/>
  </r>
  <r>
    <x v="100"/>
    <n v="137"/>
    <n v="10"/>
    <x v="34"/>
    <x v="0"/>
    <s v="grocery"/>
    <x v="100"/>
    <x v="8"/>
    <n v="299"/>
    <s v="UPI"/>
    <x v="0"/>
    <n v="9"/>
    <n v="1"/>
    <n v="0"/>
  </r>
  <r>
    <x v="101"/>
    <n v="158"/>
    <n v="39"/>
    <x v="38"/>
    <x v="1"/>
    <s v="entertainment"/>
    <x v="101"/>
    <x v="22"/>
    <n v="499"/>
    <s v="Netbanking"/>
    <x v="0"/>
    <n v="95"/>
    <n v="1"/>
    <n v="0.01"/>
  </r>
  <r>
    <x v="102"/>
    <n v="148"/>
    <n v="29"/>
    <x v="26"/>
    <x v="1"/>
    <s v="ecommerce"/>
    <x v="102"/>
    <x v="6"/>
    <n v="99"/>
    <s v="Card"/>
    <x v="0"/>
    <n v="15"/>
    <n v="1"/>
    <n v="2.5000000000000001E-2"/>
  </r>
  <r>
    <x v="103"/>
    <n v="207"/>
    <n v="18"/>
    <x v="7"/>
    <x v="0"/>
    <s v="grocery"/>
    <x v="103"/>
    <x v="17"/>
    <n v="149"/>
    <s v="UPI"/>
    <x v="0"/>
    <n v="64"/>
    <n v="1"/>
    <n v="0"/>
  </r>
  <r>
    <x v="104"/>
    <n v="42"/>
    <n v="39"/>
    <x v="38"/>
    <x v="1"/>
    <s v="entertainment"/>
    <x v="104"/>
    <x v="15"/>
    <n v="2999"/>
    <s v="Card"/>
    <x v="0"/>
    <n v="5"/>
    <n v="1"/>
    <n v="2.5000000000000001E-2"/>
  </r>
  <r>
    <x v="105"/>
    <n v="166"/>
    <n v="39"/>
    <x v="38"/>
    <x v="1"/>
    <s v="entertainment"/>
    <x v="105"/>
    <x v="0"/>
    <n v="149"/>
    <s v="UPI"/>
    <x v="0"/>
    <n v="32"/>
    <n v="1"/>
    <n v="0"/>
  </r>
  <r>
    <x v="106"/>
    <n v="346"/>
    <n v="37"/>
    <x v="21"/>
    <x v="2"/>
    <s v="entertainment"/>
    <x v="106"/>
    <x v="9"/>
    <n v="99"/>
    <s v="UPI"/>
    <x v="0"/>
    <n v="75"/>
    <n v="1"/>
    <n v="0"/>
  </r>
  <r>
    <x v="107"/>
    <n v="138"/>
    <n v="37"/>
    <x v="21"/>
    <x v="2"/>
    <s v="entertainment"/>
    <x v="107"/>
    <x v="9"/>
    <n v="499"/>
    <s v="UPI"/>
    <x v="0"/>
    <n v="5"/>
    <n v="0"/>
    <n v="0"/>
  </r>
  <r>
    <x v="108"/>
    <n v="266"/>
    <n v="29"/>
    <x v="26"/>
    <x v="1"/>
    <s v="ecommerce"/>
    <x v="108"/>
    <x v="21"/>
    <n v="499"/>
    <s v="Wallet"/>
    <x v="1"/>
    <n v="35"/>
    <n v="0"/>
    <n v="1.4999999999999999E-2"/>
  </r>
  <r>
    <x v="109"/>
    <n v="326"/>
    <n v="32"/>
    <x v="33"/>
    <x v="0"/>
    <s v="food_delivery"/>
    <x v="109"/>
    <x v="4"/>
    <n v="149"/>
    <s v="UPI"/>
    <x v="0"/>
    <n v="11"/>
    <n v="1"/>
    <n v="0"/>
  </r>
  <r>
    <x v="110"/>
    <n v="171"/>
    <n v="21"/>
    <x v="17"/>
    <x v="3"/>
    <s v="food_delivery"/>
    <x v="110"/>
    <x v="24"/>
    <n v="799"/>
    <s v="UPI"/>
    <x v="0"/>
    <n v="85"/>
    <n v="1"/>
    <n v="0"/>
  </r>
  <r>
    <x v="111"/>
    <n v="211"/>
    <n v="32"/>
    <x v="33"/>
    <x v="0"/>
    <s v="food_delivery"/>
    <x v="111"/>
    <x v="1"/>
    <n v="49"/>
    <s v="UPI"/>
    <x v="0"/>
    <n v="36"/>
    <n v="1"/>
    <n v="0"/>
  </r>
  <r>
    <x v="112"/>
    <n v="282"/>
    <n v="3"/>
    <x v="4"/>
    <x v="3"/>
    <s v="grocery"/>
    <x v="112"/>
    <x v="13"/>
    <n v="499"/>
    <s v="UPI"/>
    <x v="0"/>
    <n v="58"/>
    <n v="1"/>
    <n v="0"/>
  </r>
  <r>
    <x v="113"/>
    <n v="166"/>
    <n v="8"/>
    <x v="30"/>
    <x v="1"/>
    <s v="food_delivery"/>
    <x v="113"/>
    <x v="29"/>
    <n v="299"/>
    <s v="UPI"/>
    <x v="0"/>
    <n v="98"/>
    <n v="1"/>
    <n v="0"/>
  </r>
  <r>
    <x v="114"/>
    <n v="1"/>
    <n v="35"/>
    <x v="8"/>
    <x v="3"/>
    <s v="recharge"/>
    <x v="114"/>
    <x v="11"/>
    <n v="149"/>
    <s v="UPI"/>
    <x v="0"/>
    <n v="59"/>
    <n v="1"/>
    <n v="0"/>
  </r>
  <r>
    <x v="115"/>
    <n v="266"/>
    <n v="24"/>
    <x v="31"/>
    <x v="1"/>
    <s v="grocery"/>
    <x v="115"/>
    <x v="12"/>
    <n v="499"/>
    <s v="UPI"/>
    <x v="0"/>
    <n v="79"/>
    <n v="1"/>
    <n v="0"/>
  </r>
  <r>
    <x v="116"/>
    <n v="227"/>
    <n v="4"/>
    <x v="29"/>
    <x v="3"/>
    <s v="ecommerce"/>
    <x v="116"/>
    <x v="21"/>
    <n v="499"/>
    <s v="UPI"/>
    <x v="0"/>
    <n v="26"/>
    <n v="1"/>
    <n v="0"/>
  </r>
  <r>
    <x v="117"/>
    <n v="148"/>
    <n v="29"/>
    <x v="26"/>
    <x v="1"/>
    <s v="ecommerce"/>
    <x v="117"/>
    <x v="10"/>
    <n v="499"/>
    <s v="UPI"/>
    <x v="0"/>
    <n v="89"/>
    <n v="1"/>
    <n v="0"/>
  </r>
  <r>
    <x v="118"/>
    <n v="323"/>
    <n v="39"/>
    <x v="38"/>
    <x v="1"/>
    <s v="entertainment"/>
    <x v="118"/>
    <x v="24"/>
    <n v="499"/>
    <s v="UPI"/>
    <x v="0"/>
    <n v="30"/>
    <n v="1"/>
    <n v="0"/>
  </r>
  <r>
    <x v="119"/>
    <n v="283"/>
    <n v="1"/>
    <x v="37"/>
    <x v="2"/>
    <s v="ecommerce"/>
    <x v="119"/>
    <x v="20"/>
    <n v="2999"/>
    <s v="Wallet"/>
    <x v="0"/>
    <n v="70"/>
    <n v="1"/>
    <n v="1.4999999999999999E-2"/>
  </r>
  <r>
    <x v="120"/>
    <n v="59"/>
    <n v="30"/>
    <x v="24"/>
    <x v="0"/>
    <s v="travel"/>
    <x v="120"/>
    <x v="12"/>
    <n v="499"/>
    <s v="UPI"/>
    <x v="0"/>
    <n v="15"/>
    <n v="0"/>
    <n v="0"/>
  </r>
  <r>
    <x v="121"/>
    <n v="150"/>
    <n v="33"/>
    <x v="11"/>
    <x v="3"/>
    <s v="bill_payment"/>
    <x v="121"/>
    <x v="8"/>
    <n v="2999"/>
    <s v="UPI"/>
    <x v="0"/>
    <n v="90"/>
    <n v="1"/>
    <n v="0"/>
  </r>
  <r>
    <x v="122"/>
    <n v="248"/>
    <n v="31"/>
    <x v="20"/>
    <x v="3"/>
    <s v="bill_payment"/>
    <x v="122"/>
    <x v="10"/>
    <n v="1499"/>
    <s v="UPI"/>
    <x v="1"/>
    <n v="31"/>
    <n v="1"/>
    <n v="0"/>
  </r>
  <r>
    <x v="123"/>
    <n v="197"/>
    <n v="13"/>
    <x v="6"/>
    <x v="3"/>
    <s v="travel"/>
    <x v="123"/>
    <x v="17"/>
    <n v="49"/>
    <s v="UPI"/>
    <x v="0"/>
    <n v="76"/>
    <n v="1"/>
    <n v="0"/>
  </r>
  <r>
    <x v="124"/>
    <n v="70"/>
    <n v="5"/>
    <x v="32"/>
    <x v="2"/>
    <s v="recharge"/>
    <x v="124"/>
    <x v="18"/>
    <n v="499"/>
    <s v="UPI"/>
    <x v="0"/>
    <n v="35"/>
    <n v="1"/>
    <n v="0"/>
  </r>
  <r>
    <x v="125"/>
    <n v="260"/>
    <n v="18"/>
    <x v="7"/>
    <x v="0"/>
    <s v="grocery"/>
    <x v="125"/>
    <x v="21"/>
    <n v="1499"/>
    <s v="UPI"/>
    <x v="0"/>
    <n v="0"/>
    <n v="0"/>
    <n v="0"/>
  </r>
  <r>
    <x v="126"/>
    <n v="301"/>
    <n v="38"/>
    <x v="35"/>
    <x v="3"/>
    <s v="grocery"/>
    <x v="126"/>
    <x v="27"/>
    <n v="99"/>
    <s v="UPI"/>
    <x v="0"/>
    <n v="84"/>
    <n v="1"/>
    <n v="0"/>
  </r>
  <r>
    <x v="127"/>
    <n v="276"/>
    <n v="31"/>
    <x v="20"/>
    <x v="3"/>
    <s v="bill_payment"/>
    <x v="127"/>
    <x v="24"/>
    <n v="499"/>
    <s v="Card"/>
    <x v="0"/>
    <n v="44"/>
    <n v="1"/>
    <n v="2.5000000000000001E-2"/>
  </r>
  <r>
    <x v="128"/>
    <n v="279"/>
    <n v="25"/>
    <x v="14"/>
    <x v="2"/>
    <s v="travel"/>
    <x v="128"/>
    <x v="7"/>
    <n v="799"/>
    <s v="UPI"/>
    <x v="0"/>
    <n v="58"/>
    <n v="1"/>
    <n v="0"/>
  </r>
  <r>
    <x v="129"/>
    <n v="97"/>
    <n v="16"/>
    <x v="0"/>
    <x v="0"/>
    <s v="bill_payment"/>
    <x v="129"/>
    <x v="3"/>
    <n v="799"/>
    <s v="Card"/>
    <x v="0"/>
    <n v="73"/>
    <n v="0"/>
    <n v="2.5000000000000001E-2"/>
  </r>
  <r>
    <x v="130"/>
    <n v="211"/>
    <n v="3"/>
    <x v="4"/>
    <x v="3"/>
    <s v="grocery"/>
    <x v="130"/>
    <x v="11"/>
    <n v="149"/>
    <s v="UPI"/>
    <x v="2"/>
    <n v="40"/>
    <n v="0"/>
    <n v="0"/>
  </r>
  <r>
    <x v="131"/>
    <n v="196"/>
    <n v="25"/>
    <x v="14"/>
    <x v="2"/>
    <s v="travel"/>
    <x v="131"/>
    <x v="2"/>
    <n v="149"/>
    <s v="Netbanking"/>
    <x v="0"/>
    <n v="84"/>
    <n v="1"/>
    <n v="0.01"/>
  </r>
  <r>
    <x v="132"/>
    <n v="254"/>
    <n v="3"/>
    <x v="4"/>
    <x v="3"/>
    <s v="grocery"/>
    <x v="132"/>
    <x v="16"/>
    <n v="149"/>
    <s v="Card"/>
    <x v="0"/>
    <n v="16"/>
    <n v="1"/>
    <n v="2.5000000000000001E-2"/>
  </r>
  <r>
    <x v="133"/>
    <n v="52"/>
    <n v="29"/>
    <x v="26"/>
    <x v="1"/>
    <s v="ecommerce"/>
    <x v="133"/>
    <x v="18"/>
    <n v="49"/>
    <s v="Netbanking"/>
    <x v="0"/>
    <n v="12"/>
    <n v="1"/>
    <n v="0.01"/>
  </r>
  <r>
    <x v="134"/>
    <n v="74"/>
    <n v="27"/>
    <x v="1"/>
    <x v="1"/>
    <s v="ecommerce"/>
    <x v="134"/>
    <x v="18"/>
    <n v="799"/>
    <s v="UPI"/>
    <x v="0"/>
    <n v="83"/>
    <n v="0"/>
    <n v="0"/>
  </r>
  <r>
    <x v="135"/>
    <n v="136"/>
    <n v="22"/>
    <x v="3"/>
    <x v="2"/>
    <s v="travel"/>
    <x v="135"/>
    <x v="14"/>
    <n v="149"/>
    <s v="UPI"/>
    <x v="0"/>
    <n v="79"/>
    <n v="1"/>
    <n v="0"/>
  </r>
  <r>
    <x v="136"/>
    <n v="42"/>
    <n v="22"/>
    <x v="3"/>
    <x v="2"/>
    <s v="travel"/>
    <x v="136"/>
    <x v="20"/>
    <n v="49"/>
    <s v="UPI"/>
    <x v="0"/>
    <n v="86"/>
    <n v="1"/>
    <n v="0"/>
  </r>
  <r>
    <x v="137"/>
    <n v="163"/>
    <n v="32"/>
    <x v="33"/>
    <x v="0"/>
    <s v="food_delivery"/>
    <x v="137"/>
    <x v="19"/>
    <n v="2999"/>
    <s v="Wallet"/>
    <x v="1"/>
    <n v="69"/>
    <n v="1"/>
    <n v="1.4999999999999999E-2"/>
  </r>
  <r>
    <x v="138"/>
    <n v="121"/>
    <n v="19"/>
    <x v="13"/>
    <x v="1"/>
    <s v="grocery"/>
    <x v="138"/>
    <x v="22"/>
    <n v="149"/>
    <s v="UPI"/>
    <x v="0"/>
    <n v="29"/>
    <n v="1"/>
    <n v="0"/>
  </r>
  <r>
    <x v="139"/>
    <n v="51"/>
    <n v="7"/>
    <x v="23"/>
    <x v="3"/>
    <s v="food_delivery"/>
    <x v="139"/>
    <x v="2"/>
    <n v="499"/>
    <s v="Card"/>
    <x v="0"/>
    <n v="56"/>
    <n v="1"/>
    <n v="2.5000000000000001E-2"/>
  </r>
  <r>
    <x v="140"/>
    <n v="15"/>
    <n v="3"/>
    <x v="4"/>
    <x v="3"/>
    <s v="grocery"/>
    <x v="140"/>
    <x v="4"/>
    <n v="799"/>
    <s v="UPI"/>
    <x v="0"/>
    <n v="41"/>
    <n v="0"/>
    <n v="0"/>
  </r>
  <r>
    <x v="141"/>
    <n v="184"/>
    <n v="24"/>
    <x v="31"/>
    <x v="1"/>
    <s v="grocery"/>
    <x v="141"/>
    <x v="16"/>
    <n v="49"/>
    <s v="UPI"/>
    <x v="0"/>
    <n v="55"/>
    <n v="1"/>
    <n v="0"/>
  </r>
  <r>
    <x v="142"/>
    <n v="211"/>
    <n v="37"/>
    <x v="21"/>
    <x v="2"/>
    <s v="entertainment"/>
    <x v="142"/>
    <x v="14"/>
    <n v="1499"/>
    <s v="UPI"/>
    <x v="0"/>
    <n v="87"/>
    <n v="1"/>
    <n v="0"/>
  </r>
  <r>
    <x v="143"/>
    <n v="90"/>
    <n v="6"/>
    <x v="18"/>
    <x v="2"/>
    <s v="food_delivery"/>
    <x v="143"/>
    <x v="16"/>
    <n v="49"/>
    <s v="Card"/>
    <x v="0"/>
    <n v="78"/>
    <n v="0"/>
    <n v="2.5000000000000001E-2"/>
  </r>
  <r>
    <x v="144"/>
    <n v="350"/>
    <n v="16"/>
    <x v="0"/>
    <x v="0"/>
    <s v="bill_payment"/>
    <x v="144"/>
    <x v="19"/>
    <n v="49"/>
    <s v="UPI"/>
    <x v="0"/>
    <n v="63"/>
    <n v="1"/>
    <n v="0"/>
  </r>
  <r>
    <x v="145"/>
    <n v="119"/>
    <n v="30"/>
    <x v="24"/>
    <x v="0"/>
    <s v="travel"/>
    <x v="145"/>
    <x v="3"/>
    <n v="49"/>
    <s v="Card"/>
    <x v="0"/>
    <n v="81"/>
    <n v="1"/>
    <n v="2.5000000000000001E-2"/>
  </r>
  <r>
    <x v="146"/>
    <n v="342"/>
    <n v="1"/>
    <x v="37"/>
    <x v="2"/>
    <s v="ecommerce"/>
    <x v="146"/>
    <x v="10"/>
    <n v="49"/>
    <s v="UPI"/>
    <x v="0"/>
    <n v="59"/>
    <n v="1"/>
    <n v="0"/>
  </r>
  <r>
    <x v="147"/>
    <n v="280"/>
    <n v="11"/>
    <x v="2"/>
    <x v="1"/>
    <s v="ecommerce"/>
    <x v="147"/>
    <x v="0"/>
    <n v="149"/>
    <s v="UPI"/>
    <x v="2"/>
    <n v="9"/>
    <n v="1"/>
    <n v="0"/>
  </r>
  <r>
    <x v="148"/>
    <n v="154"/>
    <n v="28"/>
    <x v="10"/>
    <x v="2"/>
    <s v="ecommerce"/>
    <x v="148"/>
    <x v="17"/>
    <n v="2999"/>
    <s v="Netbanking"/>
    <x v="0"/>
    <n v="88"/>
    <n v="1"/>
    <n v="0.01"/>
  </r>
  <r>
    <x v="149"/>
    <n v="155"/>
    <n v="13"/>
    <x v="6"/>
    <x v="3"/>
    <s v="travel"/>
    <x v="149"/>
    <x v="10"/>
    <n v="149"/>
    <s v="UPI"/>
    <x v="0"/>
    <n v="49"/>
    <n v="1"/>
    <n v="0"/>
  </r>
  <r>
    <x v="150"/>
    <n v="122"/>
    <n v="25"/>
    <x v="14"/>
    <x v="2"/>
    <s v="travel"/>
    <x v="150"/>
    <x v="19"/>
    <n v="299"/>
    <s v="UPI"/>
    <x v="0"/>
    <n v="73"/>
    <n v="1"/>
    <n v="0"/>
  </r>
  <r>
    <x v="151"/>
    <n v="152"/>
    <n v="2"/>
    <x v="27"/>
    <x v="0"/>
    <s v="grocery"/>
    <x v="151"/>
    <x v="28"/>
    <n v="49"/>
    <s v="UPI"/>
    <x v="0"/>
    <n v="84"/>
    <n v="1"/>
    <n v="0"/>
  </r>
  <r>
    <x v="152"/>
    <n v="290"/>
    <n v="4"/>
    <x v="29"/>
    <x v="3"/>
    <s v="ecommerce"/>
    <x v="152"/>
    <x v="11"/>
    <n v="149"/>
    <s v="UPI"/>
    <x v="0"/>
    <n v="77"/>
    <n v="0"/>
    <n v="0"/>
  </r>
  <r>
    <x v="153"/>
    <n v="147"/>
    <n v="15"/>
    <x v="19"/>
    <x v="1"/>
    <s v="travel"/>
    <x v="153"/>
    <x v="2"/>
    <n v="49"/>
    <s v="Wallet"/>
    <x v="0"/>
    <n v="77"/>
    <n v="0"/>
    <n v="1.4999999999999999E-2"/>
  </r>
  <r>
    <x v="154"/>
    <n v="326"/>
    <n v="13"/>
    <x v="6"/>
    <x v="3"/>
    <s v="travel"/>
    <x v="154"/>
    <x v="16"/>
    <n v="299"/>
    <s v="Netbanking"/>
    <x v="0"/>
    <n v="79"/>
    <n v="1"/>
    <n v="0.01"/>
  </r>
  <r>
    <x v="155"/>
    <n v="338"/>
    <n v="9"/>
    <x v="39"/>
    <x v="1"/>
    <s v="ecommerce"/>
    <x v="155"/>
    <x v="10"/>
    <n v="99"/>
    <s v="Card"/>
    <x v="0"/>
    <n v="80"/>
    <n v="1"/>
    <n v="2.5000000000000001E-2"/>
  </r>
  <r>
    <x v="156"/>
    <n v="21"/>
    <n v="20"/>
    <x v="15"/>
    <x v="3"/>
    <s v="food_delivery"/>
    <x v="156"/>
    <x v="1"/>
    <n v="2999"/>
    <s v="UPI"/>
    <x v="0"/>
    <n v="100"/>
    <n v="1"/>
    <n v="0"/>
  </r>
  <r>
    <x v="157"/>
    <n v="187"/>
    <n v="9"/>
    <x v="39"/>
    <x v="1"/>
    <s v="ecommerce"/>
    <x v="157"/>
    <x v="17"/>
    <n v="49"/>
    <s v="Card"/>
    <x v="1"/>
    <n v="11"/>
    <n v="1"/>
    <n v="2.5000000000000001E-2"/>
  </r>
  <r>
    <x v="158"/>
    <n v="213"/>
    <n v="12"/>
    <x v="9"/>
    <x v="3"/>
    <s v="ecommerce"/>
    <x v="158"/>
    <x v="3"/>
    <n v="4999"/>
    <s v="UPI"/>
    <x v="0"/>
    <n v="25"/>
    <n v="1"/>
    <n v="0"/>
  </r>
  <r>
    <x v="159"/>
    <n v="188"/>
    <n v="34"/>
    <x v="36"/>
    <x v="2"/>
    <s v="travel"/>
    <x v="159"/>
    <x v="14"/>
    <n v="2999"/>
    <s v="UPI"/>
    <x v="0"/>
    <n v="64"/>
    <n v="1"/>
    <n v="0"/>
  </r>
  <r>
    <x v="160"/>
    <n v="85"/>
    <n v="17"/>
    <x v="28"/>
    <x v="1"/>
    <s v="grocery"/>
    <x v="160"/>
    <x v="3"/>
    <n v="499"/>
    <s v="UPI"/>
    <x v="0"/>
    <n v="61"/>
    <n v="1"/>
    <n v="0"/>
  </r>
  <r>
    <x v="161"/>
    <n v="174"/>
    <n v="8"/>
    <x v="30"/>
    <x v="1"/>
    <s v="food_delivery"/>
    <x v="161"/>
    <x v="16"/>
    <n v="299"/>
    <s v="Netbanking"/>
    <x v="0"/>
    <n v="59"/>
    <n v="1"/>
    <n v="0.01"/>
  </r>
  <r>
    <x v="162"/>
    <n v="116"/>
    <n v="26"/>
    <x v="22"/>
    <x v="3"/>
    <s v="food_delivery"/>
    <x v="162"/>
    <x v="29"/>
    <n v="99"/>
    <s v="Netbanking"/>
    <x v="0"/>
    <n v="71"/>
    <n v="1"/>
    <n v="0.01"/>
  </r>
  <r>
    <x v="163"/>
    <n v="203"/>
    <n v="1"/>
    <x v="37"/>
    <x v="2"/>
    <s v="ecommerce"/>
    <x v="163"/>
    <x v="28"/>
    <n v="149"/>
    <s v="Wallet"/>
    <x v="0"/>
    <n v="33"/>
    <n v="1"/>
    <n v="1.4999999999999999E-2"/>
  </r>
  <r>
    <x v="164"/>
    <n v="189"/>
    <n v="17"/>
    <x v="28"/>
    <x v="1"/>
    <s v="grocery"/>
    <x v="164"/>
    <x v="15"/>
    <n v="99"/>
    <s v="UPI"/>
    <x v="0"/>
    <n v="74"/>
    <n v="1"/>
    <n v="0"/>
  </r>
  <r>
    <x v="165"/>
    <n v="56"/>
    <n v="15"/>
    <x v="19"/>
    <x v="1"/>
    <s v="travel"/>
    <x v="165"/>
    <x v="11"/>
    <n v="299"/>
    <s v="UPI"/>
    <x v="0"/>
    <n v="60"/>
    <n v="1"/>
    <n v="0"/>
  </r>
  <r>
    <x v="166"/>
    <n v="288"/>
    <n v="21"/>
    <x v="17"/>
    <x v="3"/>
    <s v="food_delivery"/>
    <x v="166"/>
    <x v="9"/>
    <n v="4999"/>
    <s v="Wallet"/>
    <x v="1"/>
    <n v="78"/>
    <n v="1"/>
    <n v="1.4999999999999999E-2"/>
  </r>
  <r>
    <x v="167"/>
    <n v="326"/>
    <n v="30"/>
    <x v="24"/>
    <x v="0"/>
    <s v="travel"/>
    <x v="53"/>
    <x v="5"/>
    <n v="99"/>
    <s v="Card"/>
    <x v="0"/>
    <n v="89"/>
    <n v="0"/>
    <n v="2.5000000000000001E-2"/>
  </r>
  <r>
    <x v="168"/>
    <n v="60"/>
    <n v="9"/>
    <x v="39"/>
    <x v="1"/>
    <s v="ecommerce"/>
    <x v="167"/>
    <x v="27"/>
    <n v="49"/>
    <s v="Netbanking"/>
    <x v="0"/>
    <n v="5"/>
    <n v="1"/>
    <n v="0.01"/>
  </r>
  <r>
    <x v="169"/>
    <n v="60"/>
    <n v="7"/>
    <x v="23"/>
    <x v="3"/>
    <s v="food_delivery"/>
    <x v="168"/>
    <x v="22"/>
    <n v="2999"/>
    <s v="Wallet"/>
    <x v="0"/>
    <n v="30"/>
    <n v="1"/>
    <n v="1.4999999999999999E-2"/>
  </r>
  <r>
    <x v="170"/>
    <n v="199"/>
    <n v="30"/>
    <x v="24"/>
    <x v="0"/>
    <s v="travel"/>
    <x v="169"/>
    <x v="0"/>
    <n v="149"/>
    <s v="Netbanking"/>
    <x v="0"/>
    <n v="47"/>
    <n v="1"/>
    <n v="0.01"/>
  </r>
  <r>
    <x v="171"/>
    <n v="277"/>
    <n v="27"/>
    <x v="1"/>
    <x v="1"/>
    <s v="ecommerce"/>
    <x v="170"/>
    <x v="13"/>
    <n v="49"/>
    <s v="UPI"/>
    <x v="0"/>
    <n v="75"/>
    <n v="1"/>
    <n v="0"/>
  </r>
  <r>
    <x v="172"/>
    <n v="213"/>
    <n v="7"/>
    <x v="23"/>
    <x v="3"/>
    <s v="food_delivery"/>
    <x v="171"/>
    <x v="2"/>
    <n v="799"/>
    <s v="Netbanking"/>
    <x v="0"/>
    <n v="62"/>
    <n v="0"/>
    <n v="0.01"/>
  </r>
  <r>
    <x v="173"/>
    <n v="17"/>
    <n v="24"/>
    <x v="31"/>
    <x v="1"/>
    <s v="grocery"/>
    <x v="172"/>
    <x v="26"/>
    <n v="299"/>
    <s v="UPI"/>
    <x v="0"/>
    <n v="27"/>
    <n v="1"/>
    <n v="0"/>
  </r>
  <r>
    <x v="174"/>
    <n v="186"/>
    <n v="7"/>
    <x v="23"/>
    <x v="3"/>
    <s v="food_delivery"/>
    <x v="173"/>
    <x v="17"/>
    <n v="1499"/>
    <s v="Card"/>
    <x v="1"/>
    <n v="87"/>
    <n v="1"/>
    <n v="2.5000000000000001E-2"/>
  </r>
  <r>
    <x v="175"/>
    <n v="331"/>
    <n v="23"/>
    <x v="5"/>
    <x v="1"/>
    <s v="travel"/>
    <x v="174"/>
    <x v="28"/>
    <n v="149"/>
    <s v="UPI"/>
    <x v="0"/>
    <n v="7"/>
    <n v="1"/>
    <n v="0"/>
  </r>
  <r>
    <x v="176"/>
    <n v="63"/>
    <n v="30"/>
    <x v="24"/>
    <x v="0"/>
    <s v="travel"/>
    <x v="175"/>
    <x v="11"/>
    <n v="1499"/>
    <s v="Card"/>
    <x v="0"/>
    <n v="11"/>
    <n v="1"/>
    <n v="2.5000000000000001E-2"/>
  </r>
  <r>
    <x v="177"/>
    <n v="328"/>
    <n v="39"/>
    <x v="38"/>
    <x v="1"/>
    <s v="entertainment"/>
    <x v="176"/>
    <x v="13"/>
    <n v="4999"/>
    <s v="Wallet"/>
    <x v="2"/>
    <n v="2"/>
    <n v="1"/>
    <n v="1.4999999999999999E-2"/>
  </r>
  <r>
    <x v="178"/>
    <n v="65"/>
    <n v="37"/>
    <x v="21"/>
    <x v="2"/>
    <s v="entertainment"/>
    <x v="177"/>
    <x v="22"/>
    <n v="2999"/>
    <s v="Card"/>
    <x v="0"/>
    <n v="26"/>
    <n v="1"/>
    <n v="2.5000000000000001E-2"/>
  </r>
  <r>
    <x v="179"/>
    <n v="301"/>
    <n v="14"/>
    <x v="16"/>
    <x v="3"/>
    <s v="grocery"/>
    <x v="178"/>
    <x v="29"/>
    <n v="149"/>
    <s v="UPI"/>
    <x v="0"/>
    <n v="29"/>
    <n v="1"/>
    <n v="0"/>
  </r>
  <r>
    <x v="180"/>
    <n v="306"/>
    <n v="1"/>
    <x v="37"/>
    <x v="2"/>
    <s v="ecommerce"/>
    <x v="179"/>
    <x v="7"/>
    <n v="299"/>
    <s v="UPI"/>
    <x v="1"/>
    <n v="35"/>
    <n v="1"/>
    <n v="0"/>
  </r>
  <r>
    <x v="181"/>
    <n v="277"/>
    <n v="17"/>
    <x v="28"/>
    <x v="1"/>
    <s v="grocery"/>
    <x v="180"/>
    <x v="19"/>
    <n v="299"/>
    <s v="UPI"/>
    <x v="0"/>
    <n v="22"/>
    <n v="1"/>
    <n v="0"/>
  </r>
  <r>
    <x v="182"/>
    <n v="14"/>
    <n v="9"/>
    <x v="39"/>
    <x v="1"/>
    <s v="ecommerce"/>
    <x v="181"/>
    <x v="1"/>
    <n v="499"/>
    <s v="UPI"/>
    <x v="0"/>
    <n v="1"/>
    <n v="1"/>
    <n v="0"/>
  </r>
  <r>
    <x v="183"/>
    <n v="166"/>
    <n v="2"/>
    <x v="27"/>
    <x v="0"/>
    <s v="grocery"/>
    <x v="182"/>
    <x v="28"/>
    <n v="299"/>
    <s v="Card"/>
    <x v="0"/>
    <n v="22"/>
    <n v="0"/>
    <n v="2.5000000000000001E-2"/>
  </r>
  <r>
    <x v="184"/>
    <n v="216"/>
    <n v="34"/>
    <x v="36"/>
    <x v="2"/>
    <s v="travel"/>
    <x v="183"/>
    <x v="10"/>
    <n v="299"/>
    <s v="Card"/>
    <x v="0"/>
    <n v="14"/>
    <n v="1"/>
    <n v="2.5000000000000001E-2"/>
  </r>
  <r>
    <x v="185"/>
    <n v="230"/>
    <n v="24"/>
    <x v="31"/>
    <x v="1"/>
    <s v="grocery"/>
    <x v="184"/>
    <x v="2"/>
    <n v="49"/>
    <s v="UPI"/>
    <x v="0"/>
    <n v="65"/>
    <n v="1"/>
    <n v="0"/>
  </r>
  <r>
    <x v="186"/>
    <n v="258"/>
    <n v="15"/>
    <x v="19"/>
    <x v="1"/>
    <s v="travel"/>
    <x v="185"/>
    <x v="23"/>
    <n v="499"/>
    <s v="Wallet"/>
    <x v="0"/>
    <n v="78"/>
    <n v="1"/>
    <n v="1.4999999999999999E-2"/>
  </r>
  <r>
    <x v="187"/>
    <n v="338"/>
    <n v="34"/>
    <x v="36"/>
    <x v="2"/>
    <s v="travel"/>
    <x v="186"/>
    <x v="22"/>
    <n v="49"/>
    <s v="UPI"/>
    <x v="0"/>
    <n v="38"/>
    <n v="1"/>
    <n v="0"/>
  </r>
  <r>
    <x v="188"/>
    <n v="32"/>
    <n v="31"/>
    <x v="20"/>
    <x v="3"/>
    <s v="bill_payment"/>
    <x v="187"/>
    <x v="17"/>
    <n v="299"/>
    <s v="UPI"/>
    <x v="0"/>
    <n v="51"/>
    <n v="1"/>
    <n v="0"/>
  </r>
  <r>
    <x v="189"/>
    <n v="252"/>
    <n v="29"/>
    <x v="26"/>
    <x v="1"/>
    <s v="ecommerce"/>
    <x v="188"/>
    <x v="12"/>
    <n v="1499"/>
    <s v="UPI"/>
    <x v="0"/>
    <n v="9"/>
    <n v="1"/>
    <n v="0"/>
  </r>
  <r>
    <x v="190"/>
    <n v="312"/>
    <n v="10"/>
    <x v="34"/>
    <x v="0"/>
    <s v="grocery"/>
    <x v="189"/>
    <x v="0"/>
    <n v="799"/>
    <s v="UPI"/>
    <x v="0"/>
    <n v="8"/>
    <n v="1"/>
    <n v="0"/>
  </r>
  <r>
    <x v="191"/>
    <n v="325"/>
    <n v="38"/>
    <x v="35"/>
    <x v="3"/>
    <s v="grocery"/>
    <x v="190"/>
    <x v="14"/>
    <n v="1499"/>
    <s v="Netbanking"/>
    <x v="0"/>
    <n v="70"/>
    <n v="1"/>
    <n v="0.01"/>
  </r>
  <r>
    <x v="192"/>
    <n v="306"/>
    <n v="34"/>
    <x v="36"/>
    <x v="2"/>
    <s v="travel"/>
    <x v="191"/>
    <x v="20"/>
    <n v="2999"/>
    <s v="UPI"/>
    <x v="0"/>
    <n v="37"/>
    <n v="1"/>
    <n v="0"/>
  </r>
  <r>
    <x v="193"/>
    <n v="221"/>
    <n v="7"/>
    <x v="23"/>
    <x v="3"/>
    <s v="food_delivery"/>
    <x v="192"/>
    <x v="17"/>
    <n v="149"/>
    <s v="Netbanking"/>
    <x v="0"/>
    <n v="89"/>
    <n v="0"/>
    <n v="0.01"/>
  </r>
  <r>
    <x v="194"/>
    <n v="283"/>
    <n v="14"/>
    <x v="16"/>
    <x v="3"/>
    <s v="grocery"/>
    <x v="156"/>
    <x v="1"/>
    <n v="99"/>
    <s v="Wallet"/>
    <x v="0"/>
    <n v="55"/>
    <n v="1"/>
    <n v="1.4999999999999999E-2"/>
  </r>
  <r>
    <x v="195"/>
    <n v="174"/>
    <n v="30"/>
    <x v="24"/>
    <x v="0"/>
    <s v="travel"/>
    <x v="193"/>
    <x v="17"/>
    <n v="49"/>
    <s v="UPI"/>
    <x v="0"/>
    <n v="51"/>
    <n v="1"/>
    <n v="0"/>
  </r>
  <r>
    <x v="196"/>
    <n v="161"/>
    <n v="28"/>
    <x v="10"/>
    <x v="2"/>
    <s v="ecommerce"/>
    <x v="194"/>
    <x v="12"/>
    <n v="49"/>
    <s v="UPI"/>
    <x v="0"/>
    <n v="40"/>
    <n v="1"/>
    <n v="0"/>
  </r>
  <r>
    <x v="197"/>
    <n v="79"/>
    <n v="31"/>
    <x v="20"/>
    <x v="3"/>
    <s v="bill_payment"/>
    <x v="195"/>
    <x v="13"/>
    <n v="99"/>
    <s v="UPI"/>
    <x v="0"/>
    <n v="8"/>
    <n v="1"/>
    <n v="0"/>
  </r>
  <r>
    <x v="198"/>
    <n v="222"/>
    <n v="7"/>
    <x v="23"/>
    <x v="3"/>
    <s v="food_delivery"/>
    <x v="196"/>
    <x v="29"/>
    <n v="149"/>
    <s v="Wallet"/>
    <x v="0"/>
    <n v="95"/>
    <n v="1"/>
    <n v="1.4999999999999999E-2"/>
  </r>
  <r>
    <x v="199"/>
    <n v="67"/>
    <n v="36"/>
    <x v="25"/>
    <x v="3"/>
    <s v="entertainment"/>
    <x v="197"/>
    <x v="2"/>
    <n v="99"/>
    <s v="UPI"/>
    <x v="0"/>
    <n v="7"/>
    <n v="1"/>
    <n v="0"/>
  </r>
  <r>
    <x v="200"/>
    <n v="169"/>
    <n v="8"/>
    <x v="30"/>
    <x v="1"/>
    <s v="food_delivery"/>
    <x v="198"/>
    <x v="23"/>
    <n v="99"/>
    <s v="UPI"/>
    <x v="0"/>
    <n v="52"/>
    <n v="1"/>
    <n v="0"/>
  </r>
  <r>
    <x v="201"/>
    <n v="217"/>
    <n v="4"/>
    <x v="29"/>
    <x v="3"/>
    <s v="ecommerce"/>
    <x v="199"/>
    <x v="28"/>
    <n v="49"/>
    <s v="UPI"/>
    <x v="0"/>
    <n v="36"/>
    <n v="1"/>
    <n v="0"/>
  </r>
  <r>
    <x v="202"/>
    <n v="54"/>
    <n v="37"/>
    <x v="21"/>
    <x v="2"/>
    <s v="entertainment"/>
    <x v="200"/>
    <x v="26"/>
    <n v="149"/>
    <s v="UPI"/>
    <x v="0"/>
    <n v="64"/>
    <n v="1"/>
    <n v="0"/>
  </r>
  <r>
    <x v="203"/>
    <n v="247"/>
    <n v="15"/>
    <x v="19"/>
    <x v="1"/>
    <s v="travel"/>
    <x v="201"/>
    <x v="25"/>
    <n v="49"/>
    <s v="Card"/>
    <x v="0"/>
    <n v="13"/>
    <n v="1"/>
    <n v="2.5000000000000001E-2"/>
  </r>
  <r>
    <x v="204"/>
    <n v="59"/>
    <n v="18"/>
    <x v="7"/>
    <x v="0"/>
    <s v="grocery"/>
    <x v="202"/>
    <x v="28"/>
    <n v="49"/>
    <s v="Card"/>
    <x v="0"/>
    <n v="73"/>
    <n v="1"/>
    <n v="2.5000000000000001E-2"/>
  </r>
  <r>
    <x v="205"/>
    <n v="288"/>
    <n v="40"/>
    <x v="12"/>
    <x v="2"/>
    <s v="entertainment"/>
    <x v="203"/>
    <x v="5"/>
    <n v="49"/>
    <s v="UPI"/>
    <x v="1"/>
    <n v="78"/>
    <n v="1"/>
    <n v="0"/>
  </r>
  <r>
    <x v="206"/>
    <n v="14"/>
    <n v="39"/>
    <x v="38"/>
    <x v="1"/>
    <s v="entertainment"/>
    <x v="204"/>
    <x v="13"/>
    <n v="799"/>
    <s v="UPI"/>
    <x v="0"/>
    <n v="84"/>
    <n v="0"/>
    <n v="0"/>
  </r>
  <r>
    <x v="207"/>
    <n v="15"/>
    <n v="12"/>
    <x v="9"/>
    <x v="3"/>
    <s v="ecommerce"/>
    <x v="205"/>
    <x v="6"/>
    <n v="149"/>
    <s v="UPI"/>
    <x v="0"/>
    <n v="34"/>
    <n v="1"/>
    <n v="0"/>
  </r>
  <r>
    <x v="208"/>
    <n v="174"/>
    <n v="23"/>
    <x v="5"/>
    <x v="1"/>
    <s v="travel"/>
    <x v="206"/>
    <x v="20"/>
    <n v="149"/>
    <s v="UPI"/>
    <x v="0"/>
    <n v="0"/>
    <n v="1"/>
    <n v="0"/>
  </r>
  <r>
    <x v="209"/>
    <n v="337"/>
    <n v="26"/>
    <x v="22"/>
    <x v="3"/>
    <s v="food_delivery"/>
    <x v="207"/>
    <x v="4"/>
    <n v="49"/>
    <s v="UPI"/>
    <x v="0"/>
    <n v="8"/>
    <n v="1"/>
    <n v="0"/>
  </r>
  <r>
    <x v="210"/>
    <n v="16"/>
    <n v="6"/>
    <x v="18"/>
    <x v="2"/>
    <s v="food_delivery"/>
    <x v="208"/>
    <x v="14"/>
    <n v="1499"/>
    <s v="UPI"/>
    <x v="0"/>
    <n v="95"/>
    <n v="1"/>
    <n v="0"/>
  </r>
  <r>
    <x v="211"/>
    <n v="215"/>
    <n v="30"/>
    <x v="24"/>
    <x v="0"/>
    <s v="travel"/>
    <x v="209"/>
    <x v="18"/>
    <n v="49"/>
    <s v="UPI"/>
    <x v="0"/>
    <n v="43"/>
    <n v="1"/>
    <n v="0"/>
  </r>
  <r>
    <x v="212"/>
    <n v="167"/>
    <n v="37"/>
    <x v="21"/>
    <x v="2"/>
    <s v="entertainment"/>
    <x v="210"/>
    <x v="4"/>
    <n v="99"/>
    <s v="UPI"/>
    <x v="0"/>
    <n v="76"/>
    <n v="1"/>
    <n v="0"/>
  </r>
  <r>
    <x v="213"/>
    <n v="81"/>
    <n v="40"/>
    <x v="12"/>
    <x v="2"/>
    <s v="entertainment"/>
    <x v="211"/>
    <x v="29"/>
    <n v="49"/>
    <s v="UPI"/>
    <x v="0"/>
    <n v="6"/>
    <n v="1"/>
    <n v="0"/>
  </r>
  <r>
    <x v="214"/>
    <n v="227"/>
    <n v="28"/>
    <x v="10"/>
    <x v="2"/>
    <s v="ecommerce"/>
    <x v="212"/>
    <x v="13"/>
    <n v="99"/>
    <s v="UPI"/>
    <x v="0"/>
    <n v="62"/>
    <n v="1"/>
    <n v="0"/>
  </r>
  <r>
    <x v="215"/>
    <n v="140"/>
    <n v="14"/>
    <x v="16"/>
    <x v="3"/>
    <s v="grocery"/>
    <x v="213"/>
    <x v="26"/>
    <n v="299"/>
    <s v="Wallet"/>
    <x v="0"/>
    <n v="96"/>
    <n v="1"/>
    <n v="1.4999999999999999E-2"/>
  </r>
  <r>
    <x v="216"/>
    <n v="221"/>
    <n v="8"/>
    <x v="30"/>
    <x v="1"/>
    <s v="food_delivery"/>
    <x v="214"/>
    <x v="18"/>
    <n v="299"/>
    <s v="UPI"/>
    <x v="0"/>
    <n v="36"/>
    <n v="1"/>
    <n v="0"/>
  </r>
  <r>
    <x v="217"/>
    <n v="250"/>
    <n v="34"/>
    <x v="36"/>
    <x v="2"/>
    <s v="travel"/>
    <x v="215"/>
    <x v="13"/>
    <n v="299"/>
    <s v="Wallet"/>
    <x v="0"/>
    <n v="85"/>
    <n v="1"/>
    <n v="1.4999999999999999E-2"/>
  </r>
  <r>
    <x v="218"/>
    <n v="203"/>
    <n v="39"/>
    <x v="38"/>
    <x v="1"/>
    <s v="entertainment"/>
    <x v="216"/>
    <x v="27"/>
    <n v="49"/>
    <s v="UPI"/>
    <x v="0"/>
    <n v="7"/>
    <n v="1"/>
    <n v="0"/>
  </r>
  <r>
    <x v="219"/>
    <n v="109"/>
    <n v="9"/>
    <x v="39"/>
    <x v="1"/>
    <s v="ecommerce"/>
    <x v="217"/>
    <x v="9"/>
    <n v="499"/>
    <s v="Wallet"/>
    <x v="0"/>
    <n v="97"/>
    <n v="1"/>
    <n v="1.4999999999999999E-2"/>
  </r>
  <r>
    <x v="220"/>
    <n v="62"/>
    <n v="1"/>
    <x v="37"/>
    <x v="2"/>
    <s v="ecommerce"/>
    <x v="218"/>
    <x v="10"/>
    <n v="4999"/>
    <s v="Wallet"/>
    <x v="0"/>
    <n v="63"/>
    <n v="0"/>
    <n v="1.4999999999999999E-2"/>
  </r>
  <r>
    <x v="221"/>
    <n v="67"/>
    <n v="25"/>
    <x v="14"/>
    <x v="2"/>
    <s v="travel"/>
    <x v="219"/>
    <x v="2"/>
    <n v="49"/>
    <s v="UPI"/>
    <x v="0"/>
    <n v="68"/>
    <n v="0"/>
    <n v="0"/>
  </r>
  <r>
    <x v="222"/>
    <n v="287"/>
    <n v="23"/>
    <x v="5"/>
    <x v="1"/>
    <s v="travel"/>
    <x v="220"/>
    <x v="20"/>
    <n v="49"/>
    <s v="UPI"/>
    <x v="0"/>
    <n v="9"/>
    <n v="0"/>
    <n v="0"/>
  </r>
  <r>
    <x v="223"/>
    <n v="224"/>
    <n v="2"/>
    <x v="27"/>
    <x v="0"/>
    <s v="grocery"/>
    <x v="221"/>
    <x v="11"/>
    <n v="49"/>
    <s v="Card"/>
    <x v="0"/>
    <n v="58"/>
    <n v="1"/>
    <n v="2.5000000000000001E-2"/>
  </r>
  <r>
    <x v="224"/>
    <n v="161"/>
    <n v="37"/>
    <x v="21"/>
    <x v="2"/>
    <s v="entertainment"/>
    <x v="222"/>
    <x v="3"/>
    <n v="299"/>
    <s v="UPI"/>
    <x v="0"/>
    <n v="54"/>
    <n v="1"/>
    <n v="0"/>
  </r>
  <r>
    <x v="225"/>
    <n v="328"/>
    <n v="27"/>
    <x v="1"/>
    <x v="1"/>
    <s v="ecommerce"/>
    <x v="223"/>
    <x v="23"/>
    <n v="49"/>
    <s v="UPI"/>
    <x v="2"/>
    <n v="37"/>
    <n v="1"/>
    <n v="0"/>
  </r>
  <r>
    <x v="226"/>
    <n v="167"/>
    <n v="11"/>
    <x v="2"/>
    <x v="1"/>
    <s v="ecommerce"/>
    <x v="224"/>
    <x v="1"/>
    <n v="1499"/>
    <s v="Card"/>
    <x v="1"/>
    <n v="79"/>
    <n v="1"/>
    <n v="2.5000000000000001E-2"/>
  </r>
  <r>
    <x v="227"/>
    <n v="186"/>
    <n v="6"/>
    <x v="18"/>
    <x v="2"/>
    <s v="food_delivery"/>
    <x v="225"/>
    <x v="17"/>
    <n v="49"/>
    <s v="Wallet"/>
    <x v="0"/>
    <n v="55"/>
    <n v="1"/>
    <n v="1.4999999999999999E-2"/>
  </r>
  <r>
    <x v="228"/>
    <n v="224"/>
    <n v="38"/>
    <x v="35"/>
    <x v="3"/>
    <s v="grocery"/>
    <x v="226"/>
    <x v="19"/>
    <n v="299"/>
    <s v="Wallet"/>
    <x v="1"/>
    <n v="51"/>
    <n v="1"/>
    <n v="1.4999999999999999E-2"/>
  </r>
  <r>
    <x v="229"/>
    <n v="159"/>
    <n v="22"/>
    <x v="3"/>
    <x v="2"/>
    <s v="travel"/>
    <x v="227"/>
    <x v="18"/>
    <n v="799"/>
    <s v="UPI"/>
    <x v="0"/>
    <n v="28"/>
    <n v="0"/>
    <n v="0"/>
  </r>
  <r>
    <x v="230"/>
    <n v="262"/>
    <n v="8"/>
    <x v="30"/>
    <x v="1"/>
    <s v="food_delivery"/>
    <x v="228"/>
    <x v="7"/>
    <n v="149"/>
    <s v="UPI"/>
    <x v="0"/>
    <n v="67"/>
    <n v="1"/>
    <n v="0"/>
  </r>
  <r>
    <x v="231"/>
    <n v="179"/>
    <n v="23"/>
    <x v="5"/>
    <x v="1"/>
    <s v="travel"/>
    <x v="229"/>
    <x v="18"/>
    <n v="49"/>
    <s v="Wallet"/>
    <x v="0"/>
    <n v="93"/>
    <n v="1"/>
    <n v="1.4999999999999999E-2"/>
  </r>
  <r>
    <x v="232"/>
    <n v="76"/>
    <n v="16"/>
    <x v="0"/>
    <x v="0"/>
    <s v="bill_payment"/>
    <x v="230"/>
    <x v="6"/>
    <n v="299"/>
    <s v="UPI"/>
    <x v="0"/>
    <n v="13"/>
    <n v="0"/>
    <n v="0"/>
  </r>
  <r>
    <x v="233"/>
    <n v="89"/>
    <n v="39"/>
    <x v="38"/>
    <x v="1"/>
    <s v="entertainment"/>
    <x v="231"/>
    <x v="14"/>
    <n v="299"/>
    <s v="UPI"/>
    <x v="0"/>
    <n v="19"/>
    <n v="1"/>
    <n v="0"/>
  </r>
  <r>
    <x v="234"/>
    <n v="91"/>
    <n v="32"/>
    <x v="33"/>
    <x v="0"/>
    <s v="food_delivery"/>
    <x v="232"/>
    <x v="21"/>
    <n v="49"/>
    <s v="UPI"/>
    <x v="0"/>
    <n v="59"/>
    <n v="1"/>
    <n v="0"/>
  </r>
  <r>
    <x v="235"/>
    <n v="297"/>
    <n v="29"/>
    <x v="26"/>
    <x v="1"/>
    <s v="ecommerce"/>
    <x v="233"/>
    <x v="21"/>
    <n v="99"/>
    <s v="Card"/>
    <x v="2"/>
    <n v="87"/>
    <n v="0"/>
    <n v="2.5000000000000001E-2"/>
  </r>
  <r>
    <x v="236"/>
    <n v="326"/>
    <n v="40"/>
    <x v="12"/>
    <x v="2"/>
    <s v="entertainment"/>
    <x v="234"/>
    <x v="3"/>
    <n v="499"/>
    <s v="Card"/>
    <x v="0"/>
    <n v="41"/>
    <n v="1"/>
    <n v="2.5000000000000001E-2"/>
  </r>
  <r>
    <x v="237"/>
    <n v="78"/>
    <n v="29"/>
    <x v="26"/>
    <x v="1"/>
    <s v="ecommerce"/>
    <x v="235"/>
    <x v="19"/>
    <n v="149"/>
    <s v="UPI"/>
    <x v="0"/>
    <n v="8"/>
    <n v="1"/>
    <n v="0"/>
  </r>
  <r>
    <x v="238"/>
    <n v="156"/>
    <n v="18"/>
    <x v="7"/>
    <x v="0"/>
    <s v="grocery"/>
    <x v="236"/>
    <x v="24"/>
    <n v="2999"/>
    <s v="Card"/>
    <x v="0"/>
    <n v="75"/>
    <n v="1"/>
    <n v="2.5000000000000001E-2"/>
  </r>
  <r>
    <x v="239"/>
    <n v="38"/>
    <n v="20"/>
    <x v="15"/>
    <x v="3"/>
    <s v="food_delivery"/>
    <x v="237"/>
    <x v="22"/>
    <n v="49"/>
    <s v="Wallet"/>
    <x v="1"/>
    <n v="59"/>
    <n v="1"/>
    <n v="1.4999999999999999E-2"/>
  </r>
  <r>
    <x v="240"/>
    <n v="189"/>
    <n v="19"/>
    <x v="13"/>
    <x v="1"/>
    <s v="grocery"/>
    <x v="238"/>
    <x v="17"/>
    <n v="99"/>
    <s v="UPI"/>
    <x v="1"/>
    <n v="9"/>
    <n v="0"/>
    <n v="0"/>
  </r>
  <r>
    <x v="241"/>
    <n v="305"/>
    <n v="33"/>
    <x v="11"/>
    <x v="3"/>
    <s v="bill_payment"/>
    <x v="239"/>
    <x v="8"/>
    <n v="299"/>
    <s v="Card"/>
    <x v="0"/>
    <n v="49"/>
    <n v="0"/>
    <n v="2.5000000000000001E-2"/>
  </r>
  <r>
    <x v="242"/>
    <n v="22"/>
    <n v="29"/>
    <x v="26"/>
    <x v="1"/>
    <s v="ecommerce"/>
    <x v="240"/>
    <x v="17"/>
    <n v="799"/>
    <s v="UPI"/>
    <x v="0"/>
    <n v="73"/>
    <n v="0"/>
    <n v="0"/>
  </r>
  <r>
    <x v="243"/>
    <n v="310"/>
    <n v="31"/>
    <x v="20"/>
    <x v="3"/>
    <s v="bill_payment"/>
    <x v="241"/>
    <x v="8"/>
    <n v="49"/>
    <s v="Card"/>
    <x v="0"/>
    <n v="64"/>
    <n v="1"/>
    <n v="2.5000000000000001E-2"/>
  </r>
  <r>
    <x v="244"/>
    <n v="53"/>
    <n v="22"/>
    <x v="3"/>
    <x v="2"/>
    <s v="travel"/>
    <x v="242"/>
    <x v="14"/>
    <n v="299"/>
    <s v="UPI"/>
    <x v="0"/>
    <n v="91"/>
    <n v="0"/>
    <n v="0"/>
  </r>
  <r>
    <x v="245"/>
    <n v="89"/>
    <n v="3"/>
    <x v="4"/>
    <x v="3"/>
    <s v="grocery"/>
    <x v="243"/>
    <x v="29"/>
    <n v="149"/>
    <s v="Card"/>
    <x v="0"/>
    <n v="31"/>
    <n v="1"/>
    <n v="2.5000000000000001E-2"/>
  </r>
  <r>
    <x v="246"/>
    <n v="269"/>
    <n v="34"/>
    <x v="36"/>
    <x v="2"/>
    <s v="travel"/>
    <x v="244"/>
    <x v="20"/>
    <n v="149"/>
    <s v="UPI"/>
    <x v="0"/>
    <n v="78"/>
    <n v="0"/>
    <n v="0"/>
  </r>
  <r>
    <x v="247"/>
    <n v="145"/>
    <n v="25"/>
    <x v="14"/>
    <x v="2"/>
    <s v="travel"/>
    <x v="245"/>
    <x v="4"/>
    <n v="799"/>
    <s v="UPI"/>
    <x v="0"/>
    <n v="52"/>
    <n v="1"/>
    <n v="0"/>
  </r>
  <r>
    <x v="248"/>
    <n v="307"/>
    <n v="4"/>
    <x v="29"/>
    <x v="3"/>
    <s v="ecommerce"/>
    <x v="246"/>
    <x v="21"/>
    <n v="1499"/>
    <s v="UPI"/>
    <x v="0"/>
    <n v="80"/>
    <n v="0"/>
    <n v="0"/>
  </r>
  <r>
    <x v="249"/>
    <n v="169"/>
    <n v="7"/>
    <x v="23"/>
    <x v="3"/>
    <s v="food_delivery"/>
    <x v="247"/>
    <x v="8"/>
    <n v="1499"/>
    <s v="Wallet"/>
    <x v="0"/>
    <n v="71"/>
    <n v="1"/>
    <n v="1.4999999999999999E-2"/>
  </r>
  <r>
    <x v="250"/>
    <n v="130"/>
    <n v="39"/>
    <x v="38"/>
    <x v="1"/>
    <s v="entertainment"/>
    <x v="248"/>
    <x v="13"/>
    <n v="2999"/>
    <s v="Wallet"/>
    <x v="0"/>
    <n v="19"/>
    <n v="0"/>
    <n v="1.4999999999999999E-2"/>
  </r>
  <r>
    <x v="251"/>
    <n v="340"/>
    <n v="10"/>
    <x v="34"/>
    <x v="0"/>
    <s v="grocery"/>
    <x v="249"/>
    <x v="7"/>
    <n v="49"/>
    <s v="Card"/>
    <x v="0"/>
    <n v="44"/>
    <n v="1"/>
    <n v="2.5000000000000001E-2"/>
  </r>
  <r>
    <x v="252"/>
    <n v="340"/>
    <n v="26"/>
    <x v="22"/>
    <x v="3"/>
    <s v="food_delivery"/>
    <x v="250"/>
    <x v="27"/>
    <n v="299"/>
    <s v="Card"/>
    <x v="0"/>
    <n v="16"/>
    <n v="1"/>
    <n v="2.5000000000000001E-2"/>
  </r>
  <r>
    <x v="253"/>
    <n v="159"/>
    <n v="36"/>
    <x v="25"/>
    <x v="3"/>
    <s v="entertainment"/>
    <x v="251"/>
    <x v="26"/>
    <n v="49"/>
    <s v="UPI"/>
    <x v="0"/>
    <n v="48"/>
    <n v="1"/>
    <n v="0"/>
  </r>
  <r>
    <x v="254"/>
    <n v="66"/>
    <n v="34"/>
    <x v="36"/>
    <x v="2"/>
    <s v="travel"/>
    <x v="252"/>
    <x v="8"/>
    <n v="799"/>
    <s v="UPI"/>
    <x v="0"/>
    <n v="11"/>
    <n v="1"/>
    <n v="0"/>
  </r>
  <r>
    <x v="255"/>
    <n v="261"/>
    <n v="24"/>
    <x v="31"/>
    <x v="1"/>
    <s v="grocery"/>
    <x v="253"/>
    <x v="8"/>
    <n v="799"/>
    <s v="Card"/>
    <x v="0"/>
    <n v="2"/>
    <n v="1"/>
    <n v="2.5000000000000001E-2"/>
  </r>
  <r>
    <x v="256"/>
    <n v="110"/>
    <n v="22"/>
    <x v="3"/>
    <x v="2"/>
    <s v="travel"/>
    <x v="254"/>
    <x v="28"/>
    <n v="799"/>
    <s v="UPI"/>
    <x v="0"/>
    <n v="98"/>
    <n v="1"/>
    <n v="0"/>
  </r>
  <r>
    <x v="257"/>
    <n v="71"/>
    <n v="10"/>
    <x v="34"/>
    <x v="0"/>
    <s v="grocery"/>
    <x v="255"/>
    <x v="24"/>
    <n v="49"/>
    <s v="UPI"/>
    <x v="0"/>
    <n v="9"/>
    <n v="1"/>
    <n v="0"/>
  </r>
  <r>
    <x v="258"/>
    <n v="277"/>
    <n v="34"/>
    <x v="36"/>
    <x v="2"/>
    <s v="travel"/>
    <x v="256"/>
    <x v="27"/>
    <n v="49"/>
    <s v="UPI"/>
    <x v="0"/>
    <n v="4"/>
    <n v="1"/>
    <n v="0"/>
  </r>
  <r>
    <x v="259"/>
    <n v="317"/>
    <n v="9"/>
    <x v="39"/>
    <x v="1"/>
    <s v="ecommerce"/>
    <x v="257"/>
    <x v="13"/>
    <n v="499"/>
    <s v="Wallet"/>
    <x v="0"/>
    <n v="76"/>
    <n v="1"/>
    <n v="1.4999999999999999E-2"/>
  </r>
  <r>
    <x v="260"/>
    <n v="93"/>
    <n v="40"/>
    <x v="12"/>
    <x v="2"/>
    <s v="entertainment"/>
    <x v="258"/>
    <x v="11"/>
    <n v="299"/>
    <s v="UPI"/>
    <x v="0"/>
    <n v="21"/>
    <n v="1"/>
    <n v="0"/>
  </r>
  <r>
    <x v="261"/>
    <n v="211"/>
    <n v="24"/>
    <x v="31"/>
    <x v="1"/>
    <s v="grocery"/>
    <x v="259"/>
    <x v="2"/>
    <n v="99"/>
    <s v="Netbanking"/>
    <x v="0"/>
    <n v="86"/>
    <n v="0"/>
    <n v="0.01"/>
  </r>
  <r>
    <x v="262"/>
    <n v="313"/>
    <n v="19"/>
    <x v="13"/>
    <x v="1"/>
    <s v="grocery"/>
    <x v="260"/>
    <x v="2"/>
    <n v="149"/>
    <s v="UPI"/>
    <x v="0"/>
    <n v="96"/>
    <n v="1"/>
    <n v="0"/>
  </r>
  <r>
    <x v="263"/>
    <n v="274"/>
    <n v="16"/>
    <x v="0"/>
    <x v="0"/>
    <s v="bill_payment"/>
    <x v="261"/>
    <x v="2"/>
    <n v="49"/>
    <s v="Wallet"/>
    <x v="1"/>
    <n v="39"/>
    <n v="1"/>
    <n v="1.4999999999999999E-2"/>
  </r>
  <r>
    <x v="264"/>
    <n v="100"/>
    <n v="24"/>
    <x v="31"/>
    <x v="1"/>
    <s v="grocery"/>
    <x v="262"/>
    <x v="16"/>
    <n v="299"/>
    <s v="UPI"/>
    <x v="0"/>
    <n v="86"/>
    <n v="0"/>
    <n v="0"/>
  </r>
  <r>
    <x v="265"/>
    <n v="145"/>
    <n v="25"/>
    <x v="14"/>
    <x v="2"/>
    <s v="travel"/>
    <x v="263"/>
    <x v="23"/>
    <n v="2999"/>
    <s v="Wallet"/>
    <x v="0"/>
    <n v="64"/>
    <n v="0"/>
    <n v="1.4999999999999999E-2"/>
  </r>
  <r>
    <x v="266"/>
    <n v="103"/>
    <n v="39"/>
    <x v="38"/>
    <x v="1"/>
    <s v="entertainment"/>
    <x v="264"/>
    <x v="18"/>
    <n v="2999"/>
    <s v="Wallet"/>
    <x v="0"/>
    <n v="17"/>
    <n v="1"/>
    <n v="1.4999999999999999E-2"/>
  </r>
  <r>
    <x v="267"/>
    <n v="329"/>
    <n v="31"/>
    <x v="20"/>
    <x v="3"/>
    <s v="bill_payment"/>
    <x v="265"/>
    <x v="19"/>
    <n v="299"/>
    <s v="Wallet"/>
    <x v="0"/>
    <n v="47"/>
    <n v="1"/>
    <n v="1.4999999999999999E-2"/>
  </r>
  <r>
    <x v="268"/>
    <n v="265"/>
    <n v="8"/>
    <x v="30"/>
    <x v="1"/>
    <s v="food_delivery"/>
    <x v="266"/>
    <x v="15"/>
    <n v="499"/>
    <s v="Netbanking"/>
    <x v="0"/>
    <n v="36"/>
    <n v="1"/>
    <n v="0.01"/>
  </r>
  <r>
    <x v="269"/>
    <n v="231"/>
    <n v="33"/>
    <x v="11"/>
    <x v="3"/>
    <s v="bill_payment"/>
    <x v="267"/>
    <x v="29"/>
    <n v="149"/>
    <s v="UPI"/>
    <x v="1"/>
    <n v="18"/>
    <n v="1"/>
    <n v="0"/>
  </r>
  <r>
    <x v="270"/>
    <n v="114"/>
    <n v="29"/>
    <x v="26"/>
    <x v="1"/>
    <s v="ecommerce"/>
    <x v="268"/>
    <x v="6"/>
    <n v="799"/>
    <s v="UPI"/>
    <x v="2"/>
    <n v="44"/>
    <n v="0"/>
    <n v="0"/>
  </r>
  <r>
    <x v="271"/>
    <n v="28"/>
    <n v="26"/>
    <x v="22"/>
    <x v="3"/>
    <s v="food_delivery"/>
    <x v="269"/>
    <x v="3"/>
    <n v="1499"/>
    <s v="UPI"/>
    <x v="1"/>
    <n v="64"/>
    <n v="1"/>
    <n v="0"/>
  </r>
  <r>
    <x v="272"/>
    <n v="42"/>
    <n v="24"/>
    <x v="31"/>
    <x v="1"/>
    <s v="grocery"/>
    <x v="270"/>
    <x v="28"/>
    <n v="149"/>
    <s v="UPI"/>
    <x v="0"/>
    <n v="28"/>
    <n v="1"/>
    <n v="0"/>
  </r>
  <r>
    <x v="273"/>
    <n v="51"/>
    <n v="22"/>
    <x v="3"/>
    <x v="2"/>
    <s v="travel"/>
    <x v="271"/>
    <x v="9"/>
    <n v="799"/>
    <s v="UPI"/>
    <x v="0"/>
    <n v="18"/>
    <n v="1"/>
    <n v="0"/>
  </r>
  <r>
    <x v="274"/>
    <n v="242"/>
    <n v="9"/>
    <x v="39"/>
    <x v="1"/>
    <s v="ecommerce"/>
    <x v="272"/>
    <x v="14"/>
    <n v="149"/>
    <s v="UPI"/>
    <x v="0"/>
    <n v="97"/>
    <n v="1"/>
    <n v="0"/>
  </r>
  <r>
    <x v="275"/>
    <n v="316"/>
    <n v="1"/>
    <x v="37"/>
    <x v="2"/>
    <s v="ecommerce"/>
    <x v="273"/>
    <x v="20"/>
    <n v="149"/>
    <s v="UPI"/>
    <x v="0"/>
    <n v="10"/>
    <n v="0"/>
    <n v="0"/>
  </r>
  <r>
    <x v="276"/>
    <n v="77"/>
    <n v="36"/>
    <x v="25"/>
    <x v="3"/>
    <s v="entertainment"/>
    <x v="274"/>
    <x v="9"/>
    <n v="149"/>
    <s v="UPI"/>
    <x v="0"/>
    <n v="93"/>
    <n v="1"/>
    <n v="0"/>
  </r>
  <r>
    <x v="277"/>
    <n v="57"/>
    <n v="19"/>
    <x v="13"/>
    <x v="1"/>
    <s v="grocery"/>
    <x v="275"/>
    <x v="26"/>
    <n v="49"/>
    <s v="UPI"/>
    <x v="0"/>
    <n v="30"/>
    <n v="1"/>
    <n v="0"/>
  </r>
  <r>
    <x v="278"/>
    <n v="123"/>
    <n v="27"/>
    <x v="1"/>
    <x v="1"/>
    <s v="ecommerce"/>
    <x v="276"/>
    <x v="27"/>
    <n v="149"/>
    <s v="Netbanking"/>
    <x v="0"/>
    <n v="81"/>
    <n v="1"/>
    <n v="0.01"/>
  </r>
  <r>
    <x v="279"/>
    <n v="33"/>
    <n v="8"/>
    <x v="30"/>
    <x v="1"/>
    <s v="food_delivery"/>
    <x v="277"/>
    <x v="16"/>
    <n v="299"/>
    <s v="Wallet"/>
    <x v="0"/>
    <n v="63"/>
    <n v="0"/>
    <n v="1.4999999999999999E-2"/>
  </r>
  <r>
    <x v="280"/>
    <n v="324"/>
    <n v="33"/>
    <x v="11"/>
    <x v="3"/>
    <s v="bill_payment"/>
    <x v="278"/>
    <x v="26"/>
    <n v="499"/>
    <s v="UPI"/>
    <x v="0"/>
    <n v="73"/>
    <n v="1"/>
    <n v="0"/>
  </r>
  <r>
    <x v="281"/>
    <n v="150"/>
    <n v="28"/>
    <x v="10"/>
    <x v="2"/>
    <s v="ecommerce"/>
    <x v="279"/>
    <x v="5"/>
    <n v="49"/>
    <s v="UPI"/>
    <x v="1"/>
    <n v="0"/>
    <n v="1"/>
    <n v="0"/>
  </r>
  <r>
    <x v="282"/>
    <n v="293"/>
    <n v="27"/>
    <x v="1"/>
    <x v="1"/>
    <s v="ecommerce"/>
    <x v="280"/>
    <x v="26"/>
    <n v="4999"/>
    <s v="UPI"/>
    <x v="0"/>
    <n v="23"/>
    <n v="1"/>
    <n v="0"/>
  </r>
  <r>
    <x v="283"/>
    <n v="269"/>
    <n v="24"/>
    <x v="31"/>
    <x v="1"/>
    <s v="grocery"/>
    <x v="281"/>
    <x v="13"/>
    <n v="49"/>
    <s v="Wallet"/>
    <x v="0"/>
    <n v="8"/>
    <n v="1"/>
    <n v="1.4999999999999999E-2"/>
  </r>
  <r>
    <x v="284"/>
    <n v="260"/>
    <n v="36"/>
    <x v="25"/>
    <x v="3"/>
    <s v="entertainment"/>
    <x v="282"/>
    <x v="18"/>
    <n v="1499"/>
    <s v="UPI"/>
    <x v="0"/>
    <n v="2"/>
    <n v="1"/>
    <n v="0"/>
  </r>
  <r>
    <x v="285"/>
    <n v="326"/>
    <n v="25"/>
    <x v="14"/>
    <x v="2"/>
    <s v="travel"/>
    <x v="283"/>
    <x v="11"/>
    <n v="49"/>
    <s v="UPI"/>
    <x v="0"/>
    <n v="47"/>
    <n v="1"/>
    <n v="0"/>
  </r>
  <r>
    <x v="286"/>
    <n v="183"/>
    <n v="5"/>
    <x v="32"/>
    <x v="2"/>
    <s v="recharge"/>
    <x v="284"/>
    <x v="10"/>
    <n v="49"/>
    <s v="Card"/>
    <x v="0"/>
    <n v="44"/>
    <n v="1"/>
    <n v="2.5000000000000001E-2"/>
  </r>
  <r>
    <x v="287"/>
    <n v="322"/>
    <n v="7"/>
    <x v="23"/>
    <x v="3"/>
    <s v="food_delivery"/>
    <x v="285"/>
    <x v="5"/>
    <n v="299"/>
    <s v="UPI"/>
    <x v="0"/>
    <n v="98"/>
    <n v="1"/>
    <n v="0"/>
  </r>
  <r>
    <x v="288"/>
    <n v="171"/>
    <n v="9"/>
    <x v="39"/>
    <x v="1"/>
    <s v="ecommerce"/>
    <x v="286"/>
    <x v="23"/>
    <n v="299"/>
    <s v="UPI"/>
    <x v="0"/>
    <n v="5"/>
    <n v="1"/>
    <n v="0"/>
  </r>
  <r>
    <x v="289"/>
    <n v="330"/>
    <n v="12"/>
    <x v="9"/>
    <x v="3"/>
    <s v="ecommerce"/>
    <x v="287"/>
    <x v="28"/>
    <n v="1499"/>
    <s v="Netbanking"/>
    <x v="0"/>
    <n v="99"/>
    <n v="1"/>
    <n v="0.01"/>
  </r>
  <r>
    <x v="290"/>
    <n v="246"/>
    <n v="12"/>
    <x v="9"/>
    <x v="3"/>
    <s v="ecommerce"/>
    <x v="288"/>
    <x v="13"/>
    <n v="99"/>
    <s v="Wallet"/>
    <x v="0"/>
    <n v="17"/>
    <n v="1"/>
    <n v="1.4999999999999999E-2"/>
  </r>
  <r>
    <x v="291"/>
    <n v="235"/>
    <n v="3"/>
    <x v="4"/>
    <x v="3"/>
    <s v="grocery"/>
    <x v="289"/>
    <x v="29"/>
    <n v="49"/>
    <s v="UPI"/>
    <x v="0"/>
    <n v="37"/>
    <n v="0"/>
    <n v="0"/>
  </r>
  <r>
    <x v="292"/>
    <n v="103"/>
    <n v="3"/>
    <x v="4"/>
    <x v="3"/>
    <s v="grocery"/>
    <x v="290"/>
    <x v="25"/>
    <n v="499"/>
    <s v="UPI"/>
    <x v="0"/>
    <n v="40"/>
    <n v="1"/>
    <n v="0"/>
  </r>
  <r>
    <x v="293"/>
    <n v="204"/>
    <n v="35"/>
    <x v="8"/>
    <x v="3"/>
    <s v="recharge"/>
    <x v="291"/>
    <x v="3"/>
    <n v="99"/>
    <s v="Wallet"/>
    <x v="0"/>
    <n v="60"/>
    <n v="1"/>
    <n v="1.4999999999999999E-2"/>
  </r>
  <r>
    <x v="294"/>
    <n v="332"/>
    <n v="13"/>
    <x v="6"/>
    <x v="3"/>
    <s v="travel"/>
    <x v="292"/>
    <x v="10"/>
    <n v="49"/>
    <s v="Card"/>
    <x v="0"/>
    <n v="36"/>
    <n v="0"/>
    <n v="2.5000000000000001E-2"/>
  </r>
  <r>
    <x v="295"/>
    <n v="336"/>
    <n v="22"/>
    <x v="3"/>
    <x v="2"/>
    <s v="travel"/>
    <x v="293"/>
    <x v="28"/>
    <n v="499"/>
    <s v="UPI"/>
    <x v="0"/>
    <n v="34"/>
    <n v="0"/>
    <n v="0"/>
  </r>
  <r>
    <x v="296"/>
    <n v="205"/>
    <n v="29"/>
    <x v="26"/>
    <x v="1"/>
    <s v="ecommerce"/>
    <x v="294"/>
    <x v="1"/>
    <n v="99"/>
    <s v="Wallet"/>
    <x v="0"/>
    <n v="49"/>
    <n v="1"/>
    <n v="1.4999999999999999E-2"/>
  </r>
  <r>
    <x v="297"/>
    <n v="255"/>
    <n v="24"/>
    <x v="31"/>
    <x v="1"/>
    <s v="grocery"/>
    <x v="295"/>
    <x v="7"/>
    <n v="799"/>
    <s v="UPI"/>
    <x v="0"/>
    <n v="66"/>
    <n v="1"/>
    <n v="0"/>
  </r>
  <r>
    <x v="298"/>
    <n v="218"/>
    <n v="6"/>
    <x v="18"/>
    <x v="2"/>
    <s v="food_delivery"/>
    <x v="296"/>
    <x v="10"/>
    <n v="99"/>
    <s v="UPI"/>
    <x v="0"/>
    <n v="55"/>
    <n v="1"/>
    <n v="0"/>
  </r>
  <r>
    <x v="299"/>
    <n v="151"/>
    <n v="21"/>
    <x v="17"/>
    <x v="3"/>
    <s v="food_delivery"/>
    <x v="297"/>
    <x v="26"/>
    <n v="49"/>
    <s v="UPI"/>
    <x v="0"/>
    <n v="13"/>
    <n v="1"/>
    <n v="0"/>
  </r>
  <r>
    <x v="300"/>
    <n v="152"/>
    <n v="20"/>
    <x v="15"/>
    <x v="3"/>
    <s v="food_delivery"/>
    <x v="298"/>
    <x v="29"/>
    <n v="49"/>
    <s v="UPI"/>
    <x v="0"/>
    <n v="57"/>
    <n v="1"/>
    <n v="0"/>
  </r>
  <r>
    <x v="301"/>
    <n v="86"/>
    <n v="29"/>
    <x v="26"/>
    <x v="1"/>
    <s v="ecommerce"/>
    <x v="299"/>
    <x v="26"/>
    <n v="149"/>
    <s v="Card"/>
    <x v="0"/>
    <n v="44"/>
    <n v="1"/>
    <n v="2.5000000000000001E-2"/>
  </r>
  <r>
    <x v="302"/>
    <n v="181"/>
    <n v="40"/>
    <x v="12"/>
    <x v="2"/>
    <s v="entertainment"/>
    <x v="300"/>
    <x v="17"/>
    <n v="149"/>
    <s v="UPI"/>
    <x v="0"/>
    <n v="55"/>
    <n v="1"/>
    <n v="0"/>
  </r>
  <r>
    <x v="303"/>
    <n v="30"/>
    <n v="5"/>
    <x v="32"/>
    <x v="2"/>
    <s v="recharge"/>
    <x v="301"/>
    <x v="10"/>
    <n v="299"/>
    <s v="UPI"/>
    <x v="0"/>
    <n v="85"/>
    <n v="0"/>
    <n v="0"/>
  </r>
  <r>
    <x v="304"/>
    <n v="263"/>
    <n v="11"/>
    <x v="2"/>
    <x v="1"/>
    <s v="ecommerce"/>
    <x v="302"/>
    <x v="8"/>
    <n v="149"/>
    <s v="Wallet"/>
    <x v="0"/>
    <n v="3"/>
    <n v="1"/>
    <n v="1.4999999999999999E-2"/>
  </r>
  <r>
    <x v="305"/>
    <n v="225"/>
    <n v="3"/>
    <x v="4"/>
    <x v="3"/>
    <s v="grocery"/>
    <x v="303"/>
    <x v="14"/>
    <n v="99"/>
    <s v="Netbanking"/>
    <x v="0"/>
    <n v="16"/>
    <n v="1"/>
    <n v="0.01"/>
  </r>
  <r>
    <x v="306"/>
    <n v="331"/>
    <n v="24"/>
    <x v="31"/>
    <x v="1"/>
    <s v="grocery"/>
    <x v="304"/>
    <x v="29"/>
    <n v="49"/>
    <s v="Card"/>
    <x v="0"/>
    <n v="46"/>
    <n v="1"/>
    <n v="2.5000000000000001E-2"/>
  </r>
  <r>
    <x v="307"/>
    <n v="310"/>
    <n v="10"/>
    <x v="34"/>
    <x v="0"/>
    <s v="grocery"/>
    <x v="305"/>
    <x v="11"/>
    <n v="1499"/>
    <s v="Card"/>
    <x v="0"/>
    <n v="86"/>
    <n v="1"/>
    <n v="2.5000000000000001E-2"/>
  </r>
  <r>
    <x v="308"/>
    <n v="228"/>
    <n v="5"/>
    <x v="32"/>
    <x v="2"/>
    <s v="recharge"/>
    <x v="306"/>
    <x v="17"/>
    <n v="49"/>
    <s v="UPI"/>
    <x v="0"/>
    <n v="73"/>
    <n v="1"/>
    <n v="0"/>
  </r>
  <r>
    <x v="309"/>
    <n v="204"/>
    <n v="21"/>
    <x v="17"/>
    <x v="3"/>
    <s v="food_delivery"/>
    <x v="307"/>
    <x v="14"/>
    <n v="499"/>
    <s v="UPI"/>
    <x v="0"/>
    <n v="83"/>
    <n v="1"/>
    <n v="0"/>
  </r>
  <r>
    <x v="310"/>
    <n v="14"/>
    <n v="12"/>
    <x v="9"/>
    <x v="3"/>
    <s v="ecommerce"/>
    <x v="79"/>
    <x v="10"/>
    <n v="799"/>
    <s v="Netbanking"/>
    <x v="0"/>
    <n v="63"/>
    <n v="1"/>
    <n v="0.01"/>
  </r>
  <r>
    <x v="311"/>
    <n v="288"/>
    <n v="8"/>
    <x v="30"/>
    <x v="1"/>
    <s v="food_delivery"/>
    <x v="308"/>
    <x v="18"/>
    <n v="49"/>
    <s v="UPI"/>
    <x v="0"/>
    <n v="33"/>
    <n v="0"/>
    <n v="0"/>
  </r>
  <r>
    <x v="312"/>
    <n v="229"/>
    <n v="14"/>
    <x v="16"/>
    <x v="3"/>
    <s v="grocery"/>
    <x v="309"/>
    <x v="21"/>
    <n v="1499"/>
    <s v="UPI"/>
    <x v="0"/>
    <n v="78"/>
    <n v="1"/>
    <n v="0"/>
  </r>
  <r>
    <x v="313"/>
    <n v="252"/>
    <n v="13"/>
    <x v="6"/>
    <x v="3"/>
    <s v="travel"/>
    <x v="310"/>
    <x v="27"/>
    <n v="99"/>
    <s v="Wallet"/>
    <x v="0"/>
    <n v="15"/>
    <n v="1"/>
    <n v="1.4999999999999999E-2"/>
  </r>
  <r>
    <x v="314"/>
    <n v="89"/>
    <n v="29"/>
    <x v="26"/>
    <x v="1"/>
    <s v="ecommerce"/>
    <x v="311"/>
    <x v="14"/>
    <n v="799"/>
    <s v="UPI"/>
    <x v="0"/>
    <n v="11"/>
    <n v="1"/>
    <n v="0"/>
  </r>
  <r>
    <x v="315"/>
    <n v="164"/>
    <n v="23"/>
    <x v="5"/>
    <x v="1"/>
    <s v="travel"/>
    <x v="312"/>
    <x v="16"/>
    <n v="49"/>
    <s v="Netbanking"/>
    <x v="0"/>
    <n v="90"/>
    <n v="1"/>
    <n v="0.01"/>
  </r>
  <r>
    <x v="316"/>
    <n v="149"/>
    <n v="20"/>
    <x v="15"/>
    <x v="3"/>
    <s v="food_delivery"/>
    <x v="313"/>
    <x v="29"/>
    <n v="299"/>
    <s v="Wallet"/>
    <x v="0"/>
    <n v="20"/>
    <n v="0"/>
    <n v="1.4999999999999999E-2"/>
  </r>
  <r>
    <x v="317"/>
    <n v="327"/>
    <n v="12"/>
    <x v="9"/>
    <x v="3"/>
    <s v="ecommerce"/>
    <x v="314"/>
    <x v="20"/>
    <n v="49"/>
    <s v="Netbanking"/>
    <x v="0"/>
    <n v="46"/>
    <n v="1"/>
    <n v="0.01"/>
  </r>
  <r>
    <x v="318"/>
    <n v="103"/>
    <n v="9"/>
    <x v="39"/>
    <x v="1"/>
    <s v="ecommerce"/>
    <x v="315"/>
    <x v="18"/>
    <n v="149"/>
    <s v="UPI"/>
    <x v="0"/>
    <n v="30"/>
    <n v="1"/>
    <n v="0"/>
  </r>
  <r>
    <x v="319"/>
    <n v="185"/>
    <n v="36"/>
    <x v="25"/>
    <x v="3"/>
    <s v="entertainment"/>
    <x v="316"/>
    <x v="16"/>
    <n v="49"/>
    <s v="Wallet"/>
    <x v="0"/>
    <n v="73"/>
    <n v="0"/>
    <n v="1.4999999999999999E-2"/>
  </r>
  <r>
    <x v="320"/>
    <n v="283"/>
    <n v="9"/>
    <x v="39"/>
    <x v="1"/>
    <s v="ecommerce"/>
    <x v="317"/>
    <x v="28"/>
    <n v="299"/>
    <s v="UPI"/>
    <x v="0"/>
    <n v="78"/>
    <n v="1"/>
    <n v="0"/>
  </r>
  <r>
    <x v="321"/>
    <n v="159"/>
    <n v="26"/>
    <x v="22"/>
    <x v="3"/>
    <s v="food_delivery"/>
    <x v="318"/>
    <x v="0"/>
    <n v="99"/>
    <s v="UPI"/>
    <x v="0"/>
    <n v="91"/>
    <n v="1"/>
    <n v="0"/>
  </r>
  <r>
    <x v="322"/>
    <n v="211"/>
    <n v="27"/>
    <x v="1"/>
    <x v="1"/>
    <s v="ecommerce"/>
    <x v="319"/>
    <x v="2"/>
    <n v="99"/>
    <s v="Wallet"/>
    <x v="0"/>
    <n v="73"/>
    <n v="1"/>
    <n v="1.4999999999999999E-2"/>
  </r>
  <r>
    <x v="323"/>
    <n v="329"/>
    <n v="5"/>
    <x v="32"/>
    <x v="2"/>
    <s v="recharge"/>
    <x v="320"/>
    <x v="29"/>
    <n v="499"/>
    <s v="Netbanking"/>
    <x v="0"/>
    <n v="57"/>
    <n v="1"/>
    <n v="0.01"/>
  </r>
  <r>
    <x v="324"/>
    <n v="177"/>
    <n v="9"/>
    <x v="39"/>
    <x v="1"/>
    <s v="ecommerce"/>
    <x v="321"/>
    <x v="17"/>
    <n v="99"/>
    <s v="UPI"/>
    <x v="0"/>
    <n v="99"/>
    <n v="0"/>
    <n v="0"/>
  </r>
  <r>
    <x v="325"/>
    <n v="94"/>
    <n v="9"/>
    <x v="39"/>
    <x v="1"/>
    <s v="ecommerce"/>
    <x v="322"/>
    <x v="15"/>
    <n v="299"/>
    <s v="UPI"/>
    <x v="0"/>
    <n v="55"/>
    <n v="1"/>
    <n v="0"/>
  </r>
  <r>
    <x v="326"/>
    <n v="64"/>
    <n v="34"/>
    <x v="36"/>
    <x v="2"/>
    <s v="travel"/>
    <x v="323"/>
    <x v="18"/>
    <n v="299"/>
    <s v="UPI"/>
    <x v="0"/>
    <n v="19"/>
    <n v="1"/>
    <n v="0"/>
  </r>
  <r>
    <x v="327"/>
    <n v="166"/>
    <n v="15"/>
    <x v="19"/>
    <x v="1"/>
    <s v="travel"/>
    <x v="324"/>
    <x v="27"/>
    <n v="49"/>
    <s v="UPI"/>
    <x v="0"/>
    <n v="44"/>
    <n v="1"/>
    <n v="0"/>
  </r>
  <r>
    <x v="328"/>
    <n v="41"/>
    <n v="17"/>
    <x v="28"/>
    <x v="1"/>
    <s v="grocery"/>
    <x v="325"/>
    <x v="18"/>
    <n v="299"/>
    <s v="Wallet"/>
    <x v="0"/>
    <n v="25"/>
    <n v="1"/>
    <n v="1.4999999999999999E-2"/>
  </r>
  <r>
    <x v="329"/>
    <n v="65"/>
    <n v="20"/>
    <x v="15"/>
    <x v="3"/>
    <s v="food_delivery"/>
    <x v="326"/>
    <x v="8"/>
    <n v="99"/>
    <s v="Card"/>
    <x v="0"/>
    <n v="78"/>
    <n v="1"/>
    <n v="2.5000000000000001E-2"/>
  </r>
  <r>
    <x v="330"/>
    <n v="329"/>
    <n v="11"/>
    <x v="2"/>
    <x v="1"/>
    <s v="ecommerce"/>
    <x v="327"/>
    <x v="15"/>
    <n v="499"/>
    <s v="UPI"/>
    <x v="0"/>
    <n v="75"/>
    <n v="1"/>
    <n v="0"/>
  </r>
  <r>
    <x v="331"/>
    <n v="338"/>
    <n v="40"/>
    <x v="12"/>
    <x v="2"/>
    <s v="entertainment"/>
    <x v="328"/>
    <x v="23"/>
    <n v="149"/>
    <s v="UPI"/>
    <x v="0"/>
    <n v="92"/>
    <n v="1"/>
    <n v="0"/>
  </r>
  <r>
    <x v="332"/>
    <n v="289"/>
    <n v="3"/>
    <x v="4"/>
    <x v="3"/>
    <s v="grocery"/>
    <x v="329"/>
    <x v="0"/>
    <n v="49"/>
    <s v="Netbanking"/>
    <x v="0"/>
    <n v="3"/>
    <n v="1"/>
    <n v="0.01"/>
  </r>
  <r>
    <x v="333"/>
    <n v="296"/>
    <n v="17"/>
    <x v="28"/>
    <x v="1"/>
    <s v="grocery"/>
    <x v="330"/>
    <x v="29"/>
    <n v="99"/>
    <s v="UPI"/>
    <x v="0"/>
    <n v="83"/>
    <n v="1"/>
    <n v="0"/>
  </r>
  <r>
    <x v="334"/>
    <n v="317"/>
    <n v="2"/>
    <x v="27"/>
    <x v="0"/>
    <s v="grocery"/>
    <x v="331"/>
    <x v="25"/>
    <n v="499"/>
    <s v="Card"/>
    <x v="0"/>
    <n v="63"/>
    <n v="1"/>
    <n v="2.5000000000000001E-2"/>
  </r>
  <r>
    <x v="335"/>
    <n v="149"/>
    <n v="20"/>
    <x v="15"/>
    <x v="3"/>
    <s v="food_delivery"/>
    <x v="332"/>
    <x v="0"/>
    <n v="499"/>
    <s v="Card"/>
    <x v="0"/>
    <n v="61"/>
    <n v="1"/>
    <n v="2.5000000000000001E-2"/>
  </r>
  <r>
    <x v="336"/>
    <n v="153"/>
    <n v="30"/>
    <x v="24"/>
    <x v="0"/>
    <s v="travel"/>
    <x v="333"/>
    <x v="5"/>
    <n v="299"/>
    <s v="UPI"/>
    <x v="0"/>
    <n v="9"/>
    <n v="0"/>
    <n v="0"/>
  </r>
  <r>
    <x v="337"/>
    <n v="226"/>
    <n v="27"/>
    <x v="1"/>
    <x v="1"/>
    <s v="ecommerce"/>
    <x v="334"/>
    <x v="20"/>
    <n v="2999"/>
    <s v="UPI"/>
    <x v="2"/>
    <n v="61"/>
    <n v="1"/>
    <n v="0"/>
  </r>
  <r>
    <x v="338"/>
    <n v="311"/>
    <n v="10"/>
    <x v="34"/>
    <x v="0"/>
    <s v="grocery"/>
    <x v="335"/>
    <x v="17"/>
    <n v="2999"/>
    <s v="UPI"/>
    <x v="0"/>
    <n v="40"/>
    <n v="1"/>
    <n v="0"/>
  </r>
  <r>
    <x v="339"/>
    <n v="177"/>
    <n v="26"/>
    <x v="22"/>
    <x v="3"/>
    <s v="food_delivery"/>
    <x v="336"/>
    <x v="19"/>
    <n v="1499"/>
    <s v="UPI"/>
    <x v="0"/>
    <n v="16"/>
    <n v="1"/>
    <n v="0"/>
  </r>
  <r>
    <x v="340"/>
    <n v="288"/>
    <n v="7"/>
    <x v="23"/>
    <x v="3"/>
    <s v="food_delivery"/>
    <x v="337"/>
    <x v="21"/>
    <n v="99"/>
    <s v="Netbanking"/>
    <x v="0"/>
    <n v="40"/>
    <n v="1"/>
    <n v="0.01"/>
  </r>
  <r>
    <x v="341"/>
    <n v="137"/>
    <n v="29"/>
    <x v="26"/>
    <x v="1"/>
    <s v="ecommerce"/>
    <x v="338"/>
    <x v="5"/>
    <n v="2999"/>
    <s v="UPI"/>
    <x v="1"/>
    <n v="31"/>
    <n v="1"/>
    <n v="0"/>
  </r>
  <r>
    <x v="342"/>
    <n v="149"/>
    <n v="25"/>
    <x v="14"/>
    <x v="2"/>
    <s v="travel"/>
    <x v="339"/>
    <x v="14"/>
    <n v="1499"/>
    <s v="UPI"/>
    <x v="0"/>
    <n v="78"/>
    <n v="0"/>
    <n v="0"/>
  </r>
  <r>
    <x v="343"/>
    <n v="82"/>
    <n v="21"/>
    <x v="17"/>
    <x v="3"/>
    <s v="food_delivery"/>
    <x v="340"/>
    <x v="12"/>
    <n v="49"/>
    <s v="Wallet"/>
    <x v="0"/>
    <n v="73"/>
    <n v="1"/>
    <n v="1.4999999999999999E-2"/>
  </r>
  <r>
    <x v="344"/>
    <n v="82"/>
    <n v="32"/>
    <x v="33"/>
    <x v="0"/>
    <s v="food_delivery"/>
    <x v="341"/>
    <x v="2"/>
    <n v="49"/>
    <s v="UPI"/>
    <x v="0"/>
    <n v="65"/>
    <n v="1"/>
    <n v="0"/>
  </r>
  <r>
    <x v="345"/>
    <n v="158"/>
    <n v="32"/>
    <x v="33"/>
    <x v="0"/>
    <s v="food_delivery"/>
    <x v="342"/>
    <x v="17"/>
    <n v="99"/>
    <s v="Wallet"/>
    <x v="0"/>
    <n v="2"/>
    <n v="1"/>
    <n v="1.4999999999999999E-2"/>
  </r>
  <r>
    <x v="346"/>
    <n v="235"/>
    <n v="16"/>
    <x v="0"/>
    <x v="0"/>
    <s v="bill_payment"/>
    <x v="343"/>
    <x v="29"/>
    <n v="99"/>
    <s v="UPI"/>
    <x v="0"/>
    <n v="27"/>
    <n v="1"/>
    <n v="0"/>
  </r>
  <r>
    <x v="347"/>
    <n v="26"/>
    <n v="19"/>
    <x v="13"/>
    <x v="1"/>
    <s v="grocery"/>
    <x v="344"/>
    <x v="23"/>
    <n v="99"/>
    <s v="Wallet"/>
    <x v="0"/>
    <n v="63"/>
    <n v="1"/>
    <n v="1.4999999999999999E-2"/>
  </r>
  <r>
    <x v="348"/>
    <n v="241"/>
    <n v="19"/>
    <x v="13"/>
    <x v="1"/>
    <s v="grocery"/>
    <x v="345"/>
    <x v="26"/>
    <n v="299"/>
    <s v="UPI"/>
    <x v="0"/>
    <n v="68"/>
    <n v="0"/>
    <n v="0"/>
  </r>
  <r>
    <x v="349"/>
    <n v="69"/>
    <n v="17"/>
    <x v="28"/>
    <x v="1"/>
    <s v="grocery"/>
    <x v="346"/>
    <x v="9"/>
    <n v="1499"/>
    <s v="UPI"/>
    <x v="0"/>
    <n v="93"/>
    <n v="1"/>
    <n v="0"/>
  </r>
  <r>
    <x v="350"/>
    <n v="24"/>
    <n v="26"/>
    <x v="22"/>
    <x v="3"/>
    <s v="food_delivery"/>
    <x v="347"/>
    <x v="28"/>
    <n v="299"/>
    <s v="Netbanking"/>
    <x v="0"/>
    <n v="6"/>
    <n v="1"/>
    <n v="0.01"/>
  </r>
  <r>
    <x v="351"/>
    <n v="186"/>
    <n v="36"/>
    <x v="25"/>
    <x v="3"/>
    <s v="entertainment"/>
    <x v="348"/>
    <x v="23"/>
    <n v="4999"/>
    <s v="UPI"/>
    <x v="0"/>
    <n v="36"/>
    <n v="1"/>
    <n v="0"/>
  </r>
  <r>
    <x v="352"/>
    <n v="231"/>
    <n v="36"/>
    <x v="25"/>
    <x v="3"/>
    <s v="entertainment"/>
    <x v="343"/>
    <x v="29"/>
    <n v="149"/>
    <s v="UPI"/>
    <x v="0"/>
    <n v="35"/>
    <n v="1"/>
    <n v="0"/>
  </r>
  <r>
    <x v="353"/>
    <n v="313"/>
    <n v="8"/>
    <x v="30"/>
    <x v="1"/>
    <s v="food_delivery"/>
    <x v="349"/>
    <x v="6"/>
    <n v="1499"/>
    <s v="Netbanking"/>
    <x v="0"/>
    <n v="16"/>
    <n v="1"/>
    <n v="0.01"/>
  </r>
  <r>
    <x v="354"/>
    <n v="174"/>
    <n v="36"/>
    <x v="25"/>
    <x v="3"/>
    <s v="entertainment"/>
    <x v="350"/>
    <x v="1"/>
    <n v="149"/>
    <s v="UPI"/>
    <x v="0"/>
    <n v="46"/>
    <n v="1"/>
    <n v="0"/>
  </r>
  <r>
    <x v="355"/>
    <n v="309"/>
    <n v="33"/>
    <x v="11"/>
    <x v="3"/>
    <s v="bill_payment"/>
    <x v="351"/>
    <x v="21"/>
    <n v="99"/>
    <s v="UPI"/>
    <x v="0"/>
    <n v="51"/>
    <n v="1"/>
    <n v="0"/>
  </r>
  <r>
    <x v="356"/>
    <n v="20"/>
    <n v="9"/>
    <x v="39"/>
    <x v="1"/>
    <s v="ecommerce"/>
    <x v="352"/>
    <x v="18"/>
    <n v="99"/>
    <s v="UPI"/>
    <x v="0"/>
    <n v="91"/>
    <n v="0"/>
    <n v="0"/>
  </r>
  <r>
    <x v="357"/>
    <n v="234"/>
    <n v="10"/>
    <x v="34"/>
    <x v="0"/>
    <s v="grocery"/>
    <x v="353"/>
    <x v="7"/>
    <n v="49"/>
    <s v="UPI"/>
    <x v="0"/>
    <n v="77"/>
    <n v="0"/>
    <n v="0"/>
  </r>
  <r>
    <x v="358"/>
    <n v="168"/>
    <n v="40"/>
    <x v="12"/>
    <x v="2"/>
    <s v="entertainment"/>
    <x v="354"/>
    <x v="0"/>
    <n v="149"/>
    <s v="UPI"/>
    <x v="2"/>
    <n v="40"/>
    <n v="1"/>
    <n v="0"/>
  </r>
  <r>
    <x v="359"/>
    <n v="154"/>
    <n v="38"/>
    <x v="35"/>
    <x v="3"/>
    <s v="grocery"/>
    <x v="355"/>
    <x v="4"/>
    <n v="99"/>
    <s v="Netbanking"/>
    <x v="0"/>
    <n v="43"/>
    <n v="1"/>
    <n v="0.01"/>
  </r>
  <r>
    <x v="360"/>
    <n v="251"/>
    <n v="37"/>
    <x v="21"/>
    <x v="2"/>
    <s v="entertainment"/>
    <x v="356"/>
    <x v="18"/>
    <n v="49"/>
    <s v="UPI"/>
    <x v="0"/>
    <n v="38"/>
    <n v="1"/>
    <n v="0"/>
  </r>
  <r>
    <x v="361"/>
    <n v="170"/>
    <n v="8"/>
    <x v="30"/>
    <x v="1"/>
    <s v="food_delivery"/>
    <x v="357"/>
    <x v="24"/>
    <n v="2999"/>
    <s v="UPI"/>
    <x v="0"/>
    <n v="53"/>
    <n v="1"/>
    <n v="0"/>
  </r>
  <r>
    <x v="362"/>
    <n v="323"/>
    <n v="2"/>
    <x v="27"/>
    <x v="0"/>
    <s v="grocery"/>
    <x v="358"/>
    <x v="23"/>
    <n v="49"/>
    <s v="Netbanking"/>
    <x v="0"/>
    <n v="76"/>
    <n v="1"/>
    <n v="0.01"/>
  </r>
  <r>
    <x v="363"/>
    <n v="297"/>
    <n v="37"/>
    <x v="21"/>
    <x v="2"/>
    <s v="entertainment"/>
    <x v="359"/>
    <x v="24"/>
    <n v="2999"/>
    <s v="Wallet"/>
    <x v="0"/>
    <n v="29"/>
    <n v="1"/>
    <n v="1.4999999999999999E-2"/>
  </r>
  <r>
    <x v="364"/>
    <n v="246"/>
    <n v="11"/>
    <x v="2"/>
    <x v="1"/>
    <s v="ecommerce"/>
    <x v="360"/>
    <x v="2"/>
    <n v="299"/>
    <s v="UPI"/>
    <x v="0"/>
    <n v="67"/>
    <n v="0"/>
    <n v="0"/>
  </r>
  <r>
    <x v="365"/>
    <n v="195"/>
    <n v="10"/>
    <x v="34"/>
    <x v="0"/>
    <s v="grocery"/>
    <x v="361"/>
    <x v="8"/>
    <n v="99"/>
    <s v="UPI"/>
    <x v="0"/>
    <n v="87"/>
    <n v="0"/>
    <n v="0"/>
  </r>
  <r>
    <x v="366"/>
    <n v="57"/>
    <n v="13"/>
    <x v="6"/>
    <x v="3"/>
    <s v="travel"/>
    <x v="362"/>
    <x v="5"/>
    <n v="149"/>
    <s v="UPI"/>
    <x v="0"/>
    <n v="2"/>
    <n v="1"/>
    <n v="0"/>
  </r>
  <r>
    <x v="367"/>
    <n v="78"/>
    <n v="27"/>
    <x v="1"/>
    <x v="1"/>
    <s v="ecommerce"/>
    <x v="363"/>
    <x v="17"/>
    <n v="1499"/>
    <s v="Netbanking"/>
    <x v="1"/>
    <n v="88"/>
    <n v="1"/>
    <n v="0.01"/>
  </r>
  <r>
    <x v="368"/>
    <n v="314"/>
    <n v="31"/>
    <x v="20"/>
    <x v="3"/>
    <s v="bill_payment"/>
    <x v="364"/>
    <x v="25"/>
    <n v="49"/>
    <s v="UPI"/>
    <x v="2"/>
    <n v="94"/>
    <n v="1"/>
    <n v="0"/>
  </r>
  <r>
    <x v="369"/>
    <n v="71"/>
    <n v="34"/>
    <x v="36"/>
    <x v="2"/>
    <s v="travel"/>
    <x v="365"/>
    <x v="2"/>
    <n v="499"/>
    <s v="UPI"/>
    <x v="0"/>
    <n v="26"/>
    <n v="0"/>
    <n v="0"/>
  </r>
  <r>
    <x v="370"/>
    <n v="245"/>
    <n v="34"/>
    <x v="36"/>
    <x v="2"/>
    <s v="travel"/>
    <x v="366"/>
    <x v="15"/>
    <n v="99"/>
    <s v="UPI"/>
    <x v="0"/>
    <n v="48"/>
    <n v="1"/>
    <n v="0"/>
  </r>
  <r>
    <x v="371"/>
    <n v="273"/>
    <n v="22"/>
    <x v="3"/>
    <x v="2"/>
    <s v="travel"/>
    <x v="367"/>
    <x v="7"/>
    <n v="299"/>
    <s v="Wallet"/>
    <x v="0"/>
    <n v="69"/>
    <n v="1"/>
    <n v="1.4999999999999999E-2"/>
  </r>
  <r>
    <x v="372"/>
    <n v="349"/>
    <n v="17"/>
    <x v="28"/>
    <x v="1"/>
    <s v="grocery"/>
    <x v="368"/>
    <x v="28"/>
    <n v="1499"/>
    <s v="UPI"/>
    <x v="0"/>
    <n v="78"/>
    <n v="1"/>
    <n v="0"/>
  </r>
  <r>
    <x v="373"/>
    <n v="143"/>
    <n v="36"/>
    <x v="25"/>
    <x v="3"/>
    <s v="entertainment"/>
    <x v="369"/>
    <x v="24"/>
    <n v="1499"/>
    <s v="Netbanking"/>
    <x v="0"/>
    <n v="38"/>
    <n v="1"/>
    <n v="0.01"/>
  </r>
  <r>
    <x v="374"/>
    <n v="148"/>
    <n v="14"/>
    <x v="16"/>
    <x v="3"/>
    <s v="grocery"/>
    <x v="370"/>
    <x v="5"/>
    <n v="799"/>
    <s v="Wallet"/>
    <x v="0"/>
    <n v="88"/>
    <n v="1"/>
    <n v="1.4999999999999999E-2"/>
  </r>
  <r>
    <x v="375"/>
    <n v="246"/>
    <n v="23"/>
    <x v="5"/>
    <x v="1"/>
    <s v="travel"/>
    <x v="371"/>
    <x v="20"/>
    <n v="49"/>
    <s v="UPI"/>
    <x v="0"/>
    <n v="71"/>
    <n v="0"/>
    <n v="0"/>
  </r>
  <r>
    <x v="376"/>
    <n v="148"/>
    <n v="8"/>
    <x v="30"/>
    <x v="1"/>
    <s v="food_delivery"/>
    <x v="372"/>
    <x v="3"/>
    <n v="99"/>
    <s v="Wallet"/>
    <x v="0"/>
    <n v="73"/>
    <n v="1"/>
    <n v="1.4999999999999999E-2"/>
  </r>
  <r>
    <x v="377"/>
    <n v="203"/>
    <n v="23"/>
    <x v="5"/>
    <x v="1"/>
    <s v="travel"/>
    <x v="373"/>
    <x v="13"/>
    <n v="49"/>
    <s v="UPI"/>
    <x v="0"/>
    <n v="98"/>
    <n v="1"/>
    <n v="0"/>
  </r>
  <r>
    <x v="378"/>
    <n v="22"/>
    <n v="19"/>
    <x v="13"/>
    <x v="1"/>
    <s v="grocery"/>
    <x v="374"/>
    <x v="16"/>
    <n v="49"/>
    <s v="Card"/>
    <x v="0"/>
    <n v="91"/>
    <n v="1"/>
    <n v="2.5000000000000001E-2"/>
  </r>
  <r>
    <x v="379"/>
    <n v="227"/>
    <n v="17"/>
    <x v="28"/>
    <x v="1"/>
    <s v="grocery"/>
    <x v="375"/>
    <x v="29"/>
    <n v="299"/>
    <s v="Wallet"/>
    <x v="0"/>
    <n v="95"/>
    <n v="0"/>
    <n v="1.4999999999999999E-2"/>
  </r>
  <r>
    <x v="380"/>
    <n v="276"/>
    <n v="18"/>
    <x v="7"/>
    <x v="0"/>
    <s v="grocery"/>
    <x v="376"/>
    <x v="24"/>
    <n v="149"/>
    <s v="Wallet"/>
    <x v="0"/>
    <n v="71"/>
    <n v="0"/>
    <n v="1.4999999999999999E-2"/>
  </r>
  <r>
    <x v="381"/>
    <n v="56"/>
    <n v="40"/>
    <x v="12"/>
    <x v="2"/>
    <s v="entertainment"/>
    <x v="377"/>
    <x v="20"/>
    <n v="99"/>
    <s v="Card"/>
    <x v="0"/>
    <n v="94"/>
    <n v="1"/>
    <n v="2.5000000000000001E-2"/>
  </r>
  <r>
    <x v="382"/>
    <n v="26"/>
    <n v="34"/>
    <x v="36"/>
    <x v="2"/>
    <s v="travel"/>
    <x v="378"/>
    <x v="23"/>
    <n v="499"/>
    <s v="Card"/>
    <x v="0"/>
    <n v="28"/>
    <n v="1"/>
    <n v="2.5000000000000001E-2"/>
  </r>
  <r>
    <x v="383"/>
    <n v="52"/>
    <n v="27"/>
    <x v="1"/>
    <x v="1"/>
    <s v="ecommerce"/>
    <x v="379"/>
    <x v="8"/>
    <n v="499"/>
    <s v="Card"/>
    <x v="0"/>
    <n v="42"/>
    <n v="1"/>
    <n v="2.5000000000000001E-2"/>
  </r>
  <r>
    <x v="384"/>
    <n v="349"/>
    <n v="9"/>
    <x v="39"/>
    <x v="1"/>
    <s v="ecommerce"/>
    <x v="380"/>
    <x v="20"/>
    <n v="499"/>
    <s v="Wallet"/>
    <x v="0"/>
    <n v="0"/>
    <n v="1"/>
    <n v="1.4999999999999999E-2"/>
  </r>
  <r>
    <x v="385"/>
    <n v="335"/>
    <n v="31"/>
    <x v="20"/>
    <x v="3"/>
    <s v="bill_payment"/>
    <x v="381"/>
    <x v="15"/>
    <n v="49"/>
    <s v="Card"/>
    <x v="0"/>
    <n v="61"/>
    <n v="1"/>
    <n v="2.5000000000000001E-2"/>
  </r>
  <r>
    <x v="386"/>
    <n v="148"/>
    <n v="21"/>
    <x v="17"/>
    <x v="3"/>
    <s v="food_delivery"/>
    <x v="382"/>
    <x v="8"/>
    <n v="49"/>
    <s v="Card"/>
    <x v="0"/>
    <n v="36"/>
    <n v="1"/>
    <n v="2.5000000000000001E-2"/>
  </r>
  <r>
    <x v="387"/>
    <n v="46"/>
    <n v="37"/>
    <x v="21"/>
    <x v="2"/>
    <s v="entertainment"/>
    <x v="383"/>
    <x v="8"/>
    <n v="99"/>
    <s v="Wallet"/>
    <x v="0"/>
    <n v="29"/>
    <n v="1"/>
    <n v="1.4999999999999999E-2"/>
  </r>
  <r>
    <x v="388"/>
    <n v="20"/>
    <n v="12"/>
    <x v="9"/>
    <x v="3"/>
    <s v="ecommerce"/>
    <x v="384"/>
    <x v="15"/>
    <n v="799"/>
    <s v="Card"/>
    <x v="0"/>
    <n v="53"/>
    <n v="1"/>
    <n v="2.5000000000000001E-2"/>
  </r>
  <r>
    <x v="389"/>
    <n v="19"/>
    <n v="26"/>
    <x v="22"/>
    <x v="3"/>
    <s v="food_delivery"/>
    <x v="385"/>
    <x v="0"/>
    <n v="49"/>
    <s v="UPI"/>
    <x v="0"/>
    <n v="100"/>
    <n v="0"/>
    <n v="0"/>
  </r>
  <r>
    <x v="390"/>
    <n v="149"/>
    <n v="3"/>
    <x v="4"/>
    <x v="3"/>
    <s v="grocery"/>
    <x v="386"/>
    <x v="24"/>
    <n v="4999"/>
    <s v="Wallet"/>
    <x v="0"/>
    <n v="1"/>
    <n v="1"/>
    <n v="1.4999999999999999E-2"/>
  </r>
  <r>
    <x v="391"/>
    <n v="55"/>
    <n v="22"/>
    <x v="3"/>
    <x v="2"/>
    <s v="travel"/>
    <x v="387"/>
    <x v="27"/>
    <n v="499"/>
    <s v="UPI"/>
    <x v="0"/>
    <n v="36"/>
    <n v="1"/>
    <n v="0"/>
  </r>
  <r>
    <x v="392"/>
    <n v="269"/>
    <n v="32"/>
    <x v="33"/>
    <x v="0"/>
    <s v="food_delivery"/>
    <x v="388"/>
    <x v="17"/>
    <n v="49"/>
    <s v="Card"/>
    <x v="0"/>
    <n v="17"/>
    <n v="0"/>
    <n v="2.5000000000000001E-2"/>
  </r>
  <r>
    <x v="393"/>
    <n v="140"/>
    <n v="13"/>
    <x v="6"/>
    <x v="3"/>
    <s v="travel"/>
    <x v="389"/>
    <x v="19"/>
    <n v="2999"/>
    <s v="UPI"/>
    <x v="0"/>
    <n v="14"/>
    <n v="1"/>
    <n v="0"/>
  </r>
  <r>
    <x v="394"/>
    <n v="235"/>
    <n v="17"/>
    <x v="28"/>
    <x v="1"/>
    <s v="grocery"/>
    <x v="390"/>
    <x v="7"/>
    <n v="2999"/>
    <s v="UPI"/>
    <x v="0"/>
    <n v="91"/>
    <n v="0"/>
    <n v="0"/>
  </r>
  <r>
    <x v="395"/>
    <n v="173"/>
    <n v="19"/>
    <x v="13"/>
    <x v="1"/>
    <s v="grocery"/>
    <x v="391"/>
    <x v="4"/>
    <n v="499"/>
    <s v="UPI"/>
    <x v="1"/>
    <n v="72"/>
    <n v="1"/>
    <n v="0"/>
  </r>
  <r>
    <x v="396"/>
    <n v="313"/>
    <n v="26"/>
    <x v="22"/>
    <x v="3"/>
    <s v="food_delivery"/>
    <x v="392"/>
    <x v="13"/>
    <n v="499"/>
    <s v="UPI"/>
    <x v="0"/>
    <n v="54"/>
    <n v="1"/>
    <n v="0"/>
  </r>
  <r>
    <x v="397"/>
    <n v="206"/>
    <n v="7"/>
    <x v="23"/>
    <x v="3"/>
    <s v="food_delivery"/>
    <x v="393"/>
    <x v="18"/>
    <n v="149"/>
    <s v="Wallet"/>
    <x v="0"/>
    <n v="23"/>
    <n v="1"/>
    <n v="1.4999999999999999E-2"/>
  </r>
  <r>
    <x v="398"/>
    <n v="128"/>
    <n v="1"/>
    <x v="37"/>
    <x v="2"/>
    <s v="ecommerce"/>
    <x v="394"/>
    <x v="14"/>
    <n v="1499"/>
    <s v="Netbanking"/>
    <x v="0"/>
    <n v="33"/>
    <n v="1"/>
    <n v="0.01"/>
  </r>
  <r>
    <x v="399"/>
    <n v="137"/>
    <n v="22"/>
    <x v="3"/>
    <x v="2"/>
    <s v="travel"/>
    <x v="395"/>
    <x v="11"/>
    <n v="799"/>
    <s v="UPI"/>
    <x v="1"/>
    <n v="38"/>
    <n v="1"/>
    <n v="0"/>
  </r>
  <r>
    <x v="400"/>
    <n v="6"/>
    <n v="17"/>
    <x v="28"/>
    <x v="1"/>
    <s v="grocery"/>
    <x v="396"/>
    <x v="23"/>
    <n v="49"/>
    <s v="UPI"/>
    <x v="0"/>
    <n v="83"/>
    <n v="1"/>
    <n v="0"/>
  </r>
  <r>
    <x v="401"/>
    <n v="32"/>
    <n v="8"/>
    <x v="30"/>
    <x v="1"/>
    <s v="food_delivery"/>
    <x v="397"/>
    <x v="28"/>
    <n v="299"/>
    <s v="Card"/>
    <x v="0"/>
    <n v="59"/>
    <n v="1"/>
    <n v="2.5000000000000001E-2"/>
  </r>
  <r>
    <x v="402"/>
    <n v="258"/>
    <n v="20"/>
    <x v="15"/>
    <x v="3"/>
    <s v="food_delivery"/>
    <x v="398"/>
    <x v="27"/>
    <n v="149"/>
    <s v="UPI"/>
    <x v="0"/>
    <n v="88"/>
    <n v="1"/>
    <n v="0"/>
  </r>
  <r>
    <x v="403"/>
    <n v="152"/>
    <n v="24"/>
    <x v="31"/>
    <x v="1"/>
    <s v="grocery"/>
    <x v="399"/>
    <x v="1"/>
    <n v="149"/>
    <s v="UPI"/>
    <x v="2"/>
    <n v="78"/>
    <n v="1"/>
    <n v="0"/>
  </r>
  <r>
    <x v="404"/>
    <n v="245"/>
    <n v="10"/>
    <x v="34"/>
    <x v="0"/>
    <s v="grocery"/>
    <x v="400"/>
    <x v="5"/>
    <n v="799"/>
    <s v="Wallet"/>
    <x v="0"/>
    <n v="58"/>
    <n v="1"/>
    <n v="1.4999999999999999E-2"/>
  </r>
  <r>
    <x v="405"/>
    <n v="213"/>
    <n v="36"/>
    <x v="25"/>
    <x v="3"/>
    <s v="entertainment"/>
    <x v="401"/>
    <x v="2"/>
    <n v="49"/>
    <s v="Wallet"/>
    <x v="0"/>
    <n v="60"/>
    <n v="0"/>
    <n v="1.4999999999999999E-2"/>
  </r>
  <r>
    <x v="406"/>
    <n v="341"/>
    <n v="14"/>
    <x v="16"/>
    <x v="3"/>
    <s v="grocery"/>
    <x v="402"/>
    <x v="21"/>
    <n v="99"/>
    <s v="Netbanking"/>
    <x v="0"/>
    <n v="97"/>
    <n v="0"/>
    <n v="0.01"/>
  </r>
  <r>
    <x v="407"/>
    <n v="306"/>
    <n v="6"/>
    <x v="18"/>
    <x v="2"/>
    <s v="food_delivery"/>
    <x v="403"/>
    <x v="5"/>
    <n v="149"/>
    <s v="Netbanking"/>
    <x v="0"/>
    <n v="67"/>
    <n v="1"/>
    <n v="0.01"/>
  </r>
  <r>
    <x v="408"/>
    <n v="186"/>
    <n v="5"/>
    <x v="32"/>
    <x v="2"/>
    <s v="recharge"/>
    <x v="404"/>
    <x v="17"/>
    <n v="499"/>
    <s v="UPI"/>
    <x v="0"/>
    <n v="72"/>
    <n v="0"/>
    <n v="0"/>
  </r>
  <r>
    <x v="409"/>
    <n v="281"/>
    <n v="33"/>
    <x v="11"/>
    <x v="3"/>
    <s v="bill_payment"/>
    <x v="405"/>
    <x v="1"/>
    <n v="4999"/>
    <s v="UPI"/>
    <x v="0"/>
    <n v="25"/>
    <n v="1"/>
    <n v="0"/>
  </r>
  <r>
    <x v="410"/>
    <n v="85"/>
    <n v="21"/>
    <x v="17"/>
    <x v="3"/>
    <s v="food_delivery"/>
    <x v="406"/>
    <x v="23"/>
    <n v="99"/>
    <s v="UPI"/>
    <x v="0"/>
    <n v="66"/>
    <n v="1"/>
    <n v="0"/>
  </r>
  <r>
    <x v="411"/>
    <n v="106"/>
    <n v="38"/>
    <x v="35"/>
    <x v="3"/>
    <s v="grocery"/>
    <x v="407"/>
    <x v="17"/>
    <n v="499"/>
    <s v="UPI"/>
    <x v="0"/>
    <n v="62"/>
    <n v="1"/>
    <n v="0"/>
  </r>
  <r>
    <x v="412"/>
    <n v="29"/>
    <n v="30"/>
    <x v="24"/>
    <x v="0"/>
    <s v="travel"/>
    <x v="408"/>
    <x v="29"/>
    <n v="149"/>
    <s v="Netbanking"/>
    <x v="0"/>
    <n v="16"/>
    <n v="1"/>
    <n v="0.01"/>
  </r>
  <r>
    <x v="413"/>
    <n v="289"/>
    <n v="4"/>
    <x v="29"/>
    <x v="3"/>
    <s v="ecommerce"/>
    <x v="409"/>
    <x v="18"/>
    <n v="1499"/>
    <s v="Card"/>
    <x v="0"/>
    <n v="71"/>
    <n v="1"/>
    <n v="2.5000000000000001E-2"/>
  </r>
  <r>
    <x v="414"/>
    <n v="158"/>
    <n v="2"/>
    <x v="27"/>
    <x v="0"/>
    <s v="grocery"/>
    <x v="410"/>
    <x v="17"/>
    <n v="1499"/>
    <s v="Card"/>
    <x v="0"/>
    <n v="50"/>
    <n v="1"/>
    <n v="2.5000000000000001E-2"/>
  </r>
  <r>
    <x v="415"/>
    <n v="112"/>
    <n v="38"/>
    <x v="35"/>
    <x v="3"/>
    <s v="grocery"/>
    <x v="411"/>
    <x v="10"/>
    <n v="49"/>
    <s v="UPI"/>
    <x v="0"/>
    <n v="9"/>
    <n v="1"/>
    <n v="0"/>
  </r>
  <r>
    <x v="416"/>
    <n v="33"/>
    <n v="35"/>
    <x v="8"/>
    <x v="3"/>
    <s v="recharge"/>
    <x v="412"/>
    <x v="22"/>
    <n v="299"/>
    <s v="Card"/>
    <x v="1"/>
    <n v="7"/>
    <n v="1"/>
    <n v="2.5000000000000001E-2"/>
  </r>
  <r>
    <x v="417"/>
    <n v="242"/>
    <n v="3"/>
    <x v="4"/>
    <x v="3"/>
    <s v="grocery"/>
    <x v="413"/>
    <x v="3"/>
    <n v="49"/>
    <s v="UPI"/>
    <x v="0"/>
    <n v="36"/>
    <n v="1"/>
    <n v="0"/>
  </r>
  <r>
    <x v="418"/>
    <n v="70"/>
    <n v="27"/>
    <x v="1"/>
    <x v="1"/>
    <s v="ecommerce"/>
    <x v="414"/>
    <x v="12"/>
    <n v="149"/>
    <s v="UPI"/>
    <x v="0"/>
    <n v="47"/>
    <n v="1"/>
    <n v="0"/>
  </r>
  <r>
    <x v="419"/>
    <n v="194"/>
    <n v="25"/>
    <x v="14"/>
    <x v="2"/>
    <s v="travel"/>
    <x v="415"/>
    <x v="0"/>
    <n v="49"/>
    <s v="Wallet"/>
    <x v="0"/>
    <n v="10"/>
    <n v="1"/>
    <n v="1.4999999999999999E-2"/>
  </r>
  <r>
    <x v="420"/>
    <n v="277"/>
    <n v="9"/>
    <x v="39"/>
    <x v="1"/>
    <s v="ecommerce"/>
    <x v="416"/>
    <x v="13"/>
    <n v="799"/>
    <s v="UPI"/>
    <x v="0"/>
    <n v="83"/>
    <n v="0"/>
    <n v="0"/>
  </r>
  <r>
    <x v="421"/>
    <n v="92"/>
    <n v="35"/>
    <x v="8"/>
    <x v="3"/>
    <s v="recharge"/>
    <x v="417"/>
    <x v="19"/>
    <n v="49"/>
    <s v="UPI"/>
    <x v="0"/>
    <n v="50"/>
    <n v="1"/>
    <n v="0"/>
  </r>
  <r>
    <x v="422"/>
    <n v="115"/>
    <n v="1"/>
    <x v="37"/>
    <x v="2"/>
    <s v="ecommerce"/>
    <x v="418"/>
    <x v="18"/>
    <n v="149"/>
    <s v="Wallet"/>
    <x v="0"/>
    <n v="96"/>
    <n v="1"/>
    <n v="1.4999999999999999E-2"/>
  </r>
  <r>
    <x v="423"/>
    <n v="345"/>
    <n v="35"/>
    <x v="8"/>
    <x v="3"/>
    <s v="recharge"/>
    <x v="419"/>
    <x v="9"/>
    <n v="499"/>
    <s v="Card"/>
    <x v="0"/>
    <n v="54"/>
    <n v="1"/>
    <n v="2.5000000000000001E-2"/>
  </r>
  <r>
    <x v="424"/>
    <n v="118"/>
    <n v="16"/>
    <x v="0"/>
    <x v="0"/>
    <s v="bill_payment"/>
    <x v="420"/>
    <x v="15"/>
    <n v="49"/>
    <s v="UPI"/>
    <x v="0"/>
    <n v="58"/>
    <n v="1"/>
    <n v="0"/>
  </r>
  <r>
    <x v="425"/>
    <n v="97"/>
    <n v="8"/>
    <x v="30"/>
    <x v="1"/>
    <s v="food_delivery"/>
    <x v="421"/>
    <x v="28"/>
    <n v="99"/>
    <s v="Netbanking"/>
    <x v="0"/>
    <n v="4"/>
    <n v="0"/>
    <n v="0.01"/>
  </r>
  <r>
    <x v="426"/>
    <n v="315"/>
    <n v="2"/>
    <x v="27"/>
    <x v="0"/>
    <s v="grocery"/>
    <x v="422"/>
    <x v="16"/>
    <n v="299"/>
    <s v="Wallet"/>
    <x v="0"/>
    <n v="30"/>
    <n v="1"/>
    <n v="1.4999999999999999E-2"/>
  </r>
  <r>
    <x v="427"/>
    <n v="305"/>
    <n v="3"/>
    <x v="4"/>
    <x v="3"/>
    <s v="grocery"/>
    <x v="423"/>
    <x v="25"/>
    <n v="299"/>
    <s v="UPI"/>
    <x v="0"/>
    <n v="57"/>
    <n v="0"/>
    <n v="0"/>
  </r>
  <r>
    <x v="428"/>
    <n v="25"/>
    <n v="16"/>
    <x v="0"/>
    <x v="0"/>
    <s v="bill_payment"/>
    <x v="424"/>
    <x v="26"/>
    <n v="299"/>
    <s v="UPI"/>
    <x v="0"/>
    <n v="94"/>
    <n v="1"/>
    <n v="0"/>
  </r>
  <r>
    <x v="429"/>
    <n v="120"/>
    <n v="35"/>
    <x v="8"/>
    <x v="3"/>
    <s v="recharge"/>
    <x v="425"/>
    <x v="22"/>
    <n v="49"/>
    <s v="UPI"/>
    <x v="0"/>
    <n v="27"/>
    <n v="0"/>
    <n v="0"/>
  </r>
  <r>
    <x v="430"/>
    <n v="258"/>
    <n v="19"/>
    <x v="13"/>
    <x v="1"/>
    <s v="grocery"/>
    <x v="426"/>
    <x v="21"/>
    <n v="49"/>
    <s v="Wallet"/>
    <x v="0"/>
    <n v="29"/>
    <n v="1"/>
    <n v="1.4999999999999999E-2"/>
  </r>
  <r>
    <x v="431"/>
    <n v="164"/>
    <n v="37"/>
    <x v="21"/>
    <x v="2"/>
    <s v="entertainment"/>
    <x v="427"/>
    <x v="6"/>
    <n v="799"/>
    <s v="UPI"/>
    <x v="0"/>
    <n v="76"/>
    <n v="1"/>
    <n v="0"/>
  </r>
  <r>
    <x v="432"/>
    <n v="165"/>
    <n v="16"/>
    <x v="0"/>
    <x v="0"/>
    <s v="bill_payment"/>
    <x v="428"/>
    <x v="21"/>
    <n v="49"/>
    <s v="Wallet"/>
    <x v="0"/>
    <n v="38"/>
    <n v="0"/>
    <n v="1.4999999999999999E-2"/>
  </r>
  <r>
    <x v="433"/>
    <n v="267"/>
    <n v="15"/>
    <x v="19"/>
    <x v="1"/>
    <s v="travel"/>
    <x v="429"/>
    <x v="0"/>
    <n v="49"/>
    <s v="Netbanking"/>
    <x v="0"/>
    <n v="52"/>
    <n v="1"/>
    <n v="0.01"/>
  </r>
  <r>
    <x v="434"/>
    <n v="286"/>
    <n v="38"/>
    <x v="35"/>
    <x v="3"/>
    <s v="grocery"/>
    <x v="430"/>
    <x v="27"/>
    <n v="299"/>
    <s v="Wallet"/>
    <x v="0"/>
    <n v="94"/>
    <n v="0"/>
    <n v="1.4999999999999999E-2"/>
  </r>
  <r>
    <x v="435"/>
    <n v="348"/>
    <n v="28"/>
    <x v="10"/>
    <x v="2"/>
    <s v="ecommerce"/>
    <x v="431"/>
    <x v="3"/>
    <n v="499"/>
    <s v="Card"/>
    <x v="0"/>
    <n v="71"/>
    <n v="1"/>
    <n v="2.5000000000000001E-2"/>
  </r>
  <r>
    <x v="436"/>
    <n v="330"/>
    <n v="25"/>
    <x v="14"/>
    <x v="2"/>
    <s v="travel"/>
    <x v="432"/>
    <x v="24"/>
    <n v="799"/>
    <s v="UPI"/>
    <x v="0"/>
    <n v="100"/>
    <n v="1"/>
    <n v="0"/>
  </r>
  <r>
    <x v="437"/>
    <n v="214"/>
    <n v="27"/>
    <x v="1"/>
    <x v="1"/>
    <s v="ecommerce"/>
    <x v="433"/>
    <x v="18"/>
    <n v="299"/>
    <s v="Card"/>
    <x v="0"/>
    <n v="19"/>
    <n v="0"/>
    <n v="2.5000000000000001E-2"/>
  </r>
  <r>
    <x v="438"/>
    <n v="276"/>
    <n v="31"/>
    <x v="20"/>
    <x v="3"/>
    <s v="bill_payment"/>
    <x v="434"/>
    <x v="27"/>
    <n v="499"/>
    <s v="UPI"/>
    <x v="0"/>
    <n v="30"/>
    <n v="1"/>
    <n v="0"/>
  </r>
  <r>
    <x v="439"/>
    <n v="74"/>
    <n v="30"/>
    <x v="24"/>
    <x v="0"/>
    <s v="travel"/>
    <x v="435"/>
    <x v="19"/>
    <n v="49"/>
    <s v="UPI"/>
    <x v="0"/>
    <n v="7"/>
    <n v="1"/>
    <n v="0"/>
  </r>
  <r>
    <x v="440"/>
    <n v="286"/>
    <n v="34"/>
    <x v="36"/>
    <x v="2"/>
    <s v="travel"/>
    <x v="436"/>
    <x v="15"/>
    <n v="49"/>
    <s v="Card"/>
    <x v="0"/>
    <n v="17"/>
    <n v="0"/>
    <n v="2.5000000000000001E-2"/>
  </r>
  <r>
    <x v="441"/>
    <n v="105"/>
    <n v="22"/>
    <x v="3"/>
    <x v="2"/>
    <s v="travel"/>
    <x v="437"/>
    <x v="11"/>
    <n v="4999"/>
    <s v="UPI"/>
    <x v="0"/>
    <n v="82"/>
    <n v="0"/>
    <n v="0"/>
  </r>
  <r>
    <x v="442"/>
    <n v="190"/>
    <n v="6"/>
    <x v="18"/>
    <x v="2"/>
    <s v="food_delivery"/>
    <x v="438"/>
    <x v="29"/>
    <n v="799"/>
    <s v="Wallet"/>
    <x v="0"/>
    <n v="68"/>
    <n v="1"/>
    <n v="1.4999999999999999E-2"/>
  </r>
  <r>
    <x v="443"/>
    <n v="138"/>
    <n v="25"/>
    <x v="14"/>
    <x v="2"/>
    <s v="travel"/>
    <x v="439"/>
    <x v="2"/>
    <n v="299"/>
    <s v="Wallet"/>
    <x v="0"/>
    <n v="86"/>
    <n v="0"/>
    <n v="1.4999999999999999E-2"/>
  </r>
  <r>
    <x v="444"/>
    <n v="38"/>
    <n v="13"/>
    <x v="6"/>
    <x v="3"/>
    <s v="travel"/>
    <x v="440"/>
    <x v="26"/>
    <n v="4999"/>
    <s v="Netbanking"/>
    <x v="0"/>
    <n v="97"/>
    <n v="1"/>
    <n v="0.01"/>
  </r>
  <r>
    <x v="445"/>
    <n v="287"/>
    <n v="14"/>
    <x v="16"/>
    <x v="3"/>
    <s v="grocery"/>
    <x v="441"/>
    <x v="23"/>
    <n v="99"/>
    <s v="Wallet"/>
    <x v="0"/>
    <n v="61"/>
    <n v="1"/>
    <n v="1.4999999999999999E-2"/>
  </r>
  <r>
    <x v="446"/>
    <n v="8"/>
    <n v="14"/>
    <x v="16"/>
    <x v="3"/>
    <s v="grocery"/>
    <x v="442"/>
    <x v="25"/>
    <n v="49"/>
    <s v="UPI"/>
    <x v="0"/>
    <n v="24"/>
    <n v="1"/>
    <n v="0"/>
  </r>
  <r>
    <x v="447"/>
    <n v="246"/>
    <n v="16"/>
    <x v="0"/>
    <x v="0"/>
    <s v="bill_payment"/>
    <x v="443"/>
    <x v="2"/>
    <n v="1499"/>
    <s v="Wallet"/>
    <x v="0"/>
    <n v="89"/>
    <n v="0"/>
    <n v="1.4999999999999999E-2"/>
  </r>
  <r>
    <x v="448"/>
    <n v="204"/>
    <n v="16"/>
    <x v="0"/>
    <x v="0"/>
    <s v="bill_payment"/>
    <x v="444"/>
    <x v="26"/>
    <n v="149"/>
    <s v="UPI"/>
    <x v="0"/>
    <n v="70"/>
    <n v="0"/>
    <n v="0"/>
  </r>
  <r>
    <x v="449"/>
    <n v="239"/>
    <n v="35"/>
    <x v="8"/>
    <x v="3"/>
    <s v="recharge"/>
    <x v="445"/>
    <x v="7"/>
    <n v="4999"/>
    <s v="UPI"/>
    <x v="0"/>
    <n v="83"/>
    <n v="1"/>
    <n v="0"/>
  </r>
  <r>
    <x v="450"/>
    <n v="185"/>
    <n v="33"/>
    <x v="11"/>
    <x v="3"/>
    <s v="bill_payment"/>
    <x v="446"/>
    <x v="28"/>
    <n v="299"/>
    <s v="UPI"/>
    <x v="0"/>
    <n v="63"/>
    <n v="1"/>
    <n v="0"/>
  </r>
  <r>
    <x v="451"/>
    <n v="241"/>
    <n v="21"/>
    <x v="17"/>
    <x v="3"/>
    <s v="food_delivery"/>
    <x v="447"/>
    <x v="17"/>
    <n v="299"/>
    <s v="Card"/>
    <x v="0"/>
    <n v="26"/>
    <n v="1"/>
    <n v="2.5000000000000001E-2"/>
  </r>
  <r>
    <x v="452"/>
    <n v="24"/>
    <n v="37"/>
    <x v="21"/>
    <x v="2"/>
    <s v="entertainment"/>
    <x v="448"/>
    <x v="28"/>
    <n v="149"/>
    <s v="UPI"/>
    <x v="0"/>
    <n v="28"/>
    <n v="1"/>
    <n v="0"/>
  </r>
  <r>
    <x v="453"/>
    <n v="134"/>
    <n v="36"/>
    <x v="25"/>
    <x v="3"/>
    <s v="entertainment"/>
    <x v="449"/>
    <x v="2"/>
    <n v="1499"/>
    <s v="UPI"/>
    <x v="0"/>
    <n v="74"/>
    <n v="0"/>
    <n v="0"/>
  </r>
  <r>
    <x v="454"/>
    <n v="152"/>
    <n v="10"/>
    <x v="34"/>
    <x v="0"/>
    <s v="grocery"/>
    <x v="450"/>
    <x v="23"/>
    <n v="499"/>
    <s v="Wallet"/>
    <x v="0"/>
    <n v="25"/>
    <n v="1"/>
    <n v="1.4999999999999999E-2"/>
  </r>
  <r>
    <x v="455"/>
    <n v="292"/>
    <n v="16"/>
    <x v="0"/>
    <x v="0"/>
    <s v="bill_payment"/>
    <x v="451"/>
    <x v="7"/>
    <n v="499"/>
    <s v="Netbanking"/>
    <x v="0"/>
    <n v="63"/>
    <n v="1"/>
    <n v="0.01"/>
  </r>
  <r>
    <x v="456"/>
    <n v="173"/>
    <n v="17"/>
    <x v="28"/>
    <x v="1"/>
    <s v="grocery"/>
    <x v="452"/>
    <x v="15"/>
    <n v="99"/>
    <s v="Netbanking"/>
    <x v="0"/>
    <n v="97"/>
    <n v="0"/>
    <n v="0.01"/>
  </r>
  <r>
    <x v="457"/>
    <n v="329"/>
    <n v="32"/>
    <x v="33"/>
    <x v="0"/>
    <s v="food_delivery"/>
    <x v="453"/>
    <x v="6"/>
    <n v="1499"/>
    <s v="UPI"/>
    <x v="0"/>
    <n v="58"/>
    <n v="1"/>
    <n v="0"/>
  </r>
  <r>
    <x v="458"/>
    <n v="181"/>
    <n v="11"/>
    <x v="2"/>
    <x v="1"/>
    <s v="ecommerce"/>
    <x v="454"/>
    <x v="4"/>
    <n v="1499"/>
    <s v="UPI"/>
    <x v="0"/>
    <n v="17"/>
    <n v="1"/>
    <n v="0"/>
  </r>
  <r>
    <x v="459"/>
    <n v="95"/>
    <n v="35"/>
    <x v="8"/>
    <x v="3"/>
    <s v="recharge"/>
    <x v="455"/>
    <x v="2"/>
    <n v="149"/>
    <s v="Wallet"/>
    <x v="0"/>
    <n v="82"/>
    <n v="1"/>
    <n v="1.4999999999999999E-2"/>
  </r>
  <r>
    <x v="460"/>
    <n v="39"/>
    <n v="4"/>
    <x v="29"/>
    <x v="3"/>
    <s v="ecommerce"/>
    <x v="456"/>
    <x v="22"/>
    <n v="149"/>
    <s v="Netbanking"/>
    <x v="0"/>
    <n v="97"/>
    <n v="1"/>
    <n v="0.01"/>
  </r>
  <r>
    <x v="461"/>
    <n v="323"/>
    <n v="15"/>
    <x v="19"/>
    <x v="1"/>
    <s v="travel"/>
    <x v="457"/>
    <x v="9"/>
    <n v="499"/>
    <s v="UPI"/>
    <x v="0"/>
    <n v="8"/>
    <n v="1"/>
    <n v="0"/>
  </r>
  <r>
    <x v="462"/>
    <n v="112"/>
    <n v="33"/>
    <x v="11"/>
    <x v="3"/>
    <s v="bill_payment"/>
    <x v="458"/>
    <x v="20"/>
    <n v="49"/>
    <s v="Netbanking"/>
    <x v="0"/>
    <n v="58"/>
    <n v="1"/>
    <n v="0.01"/>
  </r>
  <r>
    <x v="463"/>
    <n v="327"/>
    <n v="40"/>
    <x v="12"/>
    <x v="2"/>
    <s v="entertainment"/>
    <x v="459"/>
    <x v="28"/>
    <n v="99"/>
    <s v="UPI"/>
    <x v="0"/>
    <n v="61"/>
    <n v="1"/>
    <n v="0"/>
  </r>
  <r>
    <x v="464"/>
    <n v="4"/>
    <n v="35"/>
    <x v="8"/>
    <x v="3"/>
    <s v="recharge"/>
    <x v="460"/>
    <x v="13"/>
    <n v="299"/>
    <s v="UPI"/>
    <x v="0"/>
    <n v="70"/>
    <n v="1"/>
    <n v="0"/>
  </r>
  <r>
    <x v="465"/>
    <n v="272"/>
    <n v="18"/>
    <x v="7"/>
    <x v="0"/>
    <s v="grocery"/>
    <x v="461"/>
    <x v="12"/>
    <n v="149"/>
    <s v="UPI"/>
    <x v="0"/>
    <n v="68"/>
    <n v="1"/>
    <n v="0"/>
  </r>
  <r>
    <x v="466"/>
    <n v="346"/>
    <n v="28"/>
    <x v="10"/>
    <x v="2"/>
    <s v="ecommerce"/>
    <x v="462"/>
    <x v="27"/>
    <n v="499"/>
    <s v="UPI"/>
    <x v="0"/>
    <n v="22"/>
    <n v="1"/>
    <n v="0"/>
  </r>
  <r>
    <x v="467"/>
    <n v="77"/>
    <n v="16"/>
    <x v="0"/>
    <x v="0"/>
    <s v="bill_payment"/>
    <x v="463"/>
    <x v="1"/>
    <n v="49"/>
    <s v="Wallet"/>
    <x v="0"/>
    <n v="24"/>
    <n v="1"/>
    <n v="1.4999999999999999E-2"/>
  </r>
  <r>
    <x v="468"/>
    <n v="182"/>
    <n v="18"/>
    <x v="7"/>
    <x v="0"/>
    <s v="grocery"/>
    <x v="464"/>
    <x v="26"/>
    <n v="149"/>
    <s v="Card"/>
    <x v="0"/>
    <n v="50"/>
    <n v="1"/>
    <n v="2.5000000000000001E-2"/>
  </r>
  <r>
    <x v="469"/>
    <n v="236"/>
    <n v="37"/>
    <x v="21"/>
    <x v="2"/>
    <s v="entertainment"/>
    <x v="465"/>
    <x v="29"/>
    <n v="299"/>
    <s v="Card"/>
    <x v="0"/>
    <n v="31"/>
    <n v="1"/>
    <n v="2.5000000000000001E-2"/>
  </r>
  <r>
    <x v="470"/>
    <n v="42"/>
    <n v="3"/>
    <x v="4"/>
    <x v="3"/>
    <s v="grocery"/>
    <x v="76"/>
    <x v="20"/>
    <n v="49"/>
    <s v="UPI"/>
    <x v="0"/>
    <n v="11"/>
    <n v="1"/>
    <n v="0"/>
  </r>
  <r>
    <x v="471"/>
    <n v="283"/>
    <n v="31"/>
    <x v="20"/>
    <x v="3"/>
    <s v="bill_payment"/>
    <x v="466"/>
    <x v="11"/>
    <n v="299"/>
    <s v="Netbanking"/>
    <x v="0"/>
    <n v="7"/>
    <n v="1"/>
    <n v="0.01"/>
  </r>
  <r>
    <x v="472"/>
    <n v="88"/>
    <n v="6"/>
    <x v="18"/>
    <x v="2"/>
    <s v="food_delivery"/>
    <x v="467"/>
    <x v="8"/>
    <n v="49"/>
    <s v="UPI"/>
    <x v="0"/>
    <n v="63"/>
    <n v="1"/>
    <n v="0"/>
  </r>
  <r>
    <x v="473"/>
    <n v="170"/>
    <n v="37"/>
    <x v="21"/>
    <x v="2"/>
    <s v="entertainment"/>
    <x v="468"/>
    <x v="19"/>
    <n v="99"/>
    <s v="UPI"/>
    <x v="1"/>
    <n v="12"/>
    <n v="0"/>
    <n v="0"/>
  </r>
  <r>
    <x v="474"/>
    <n v="22"/>
    <n v="15"/>
    <x v="19"/>
    <x v="1"/>
    <s v="travel"/>
    <x v="469"/>
    <x v="0"/>
    <n v="49"/>
    <s v="Netbanking"/>
    <x v="0"/>
    <n v="27"/>
    <n v="0"/>
    <n v="0.01"/>
  </r>
  <r>
    <x v="475"/>
    <n v="291"/>
    <n v="31"/>
    <x v="20"/>
    <x v="3"/>
    <s v="bill_payment"/>
    <x v="470"/>
    <x v="0"/>
    <n v="49"/>
    <s v="Netbanking"/>
    <x v="1"/>
    <n v="34"/>
    <n v="1"/>
    <n v="0.01"/>
  </r>
  <r>
    <x v="476"/>
    <n v="144"/>
    <n v="35"/>
    <x v="8"/>
    <x v="3"/>
    <s v="recharge"/>
    <x v="471"/>
    <x v="22"/>
    <n v="1499"/>
    <s v="UPI"/>
    <x v="0"/>
    <n v="72"/>
    <n v="0"/>
    <n v="0"/>
  </r>
  <r>
    <x v="477"/>
    <n v="162"/>
    <n v="2"/>
    <x v="27"/>
    <x v="0"/>
    <s v="grocery"/>
    <x v="472"/>
    <x v="13"/>
    <n v="299"/>
    <s v="Wallet"/>
    <x v="0"/>
    <n v="26"/>
    <n v="1"/>
    <n v="1.4999999999999999E-2"/>
  </r>
  <r>
    <x v="478"/>
    <n v="204"/>
    <n v="5"/>
    <x v="32"/>
    <x v="2"/>
    <s v="recharge"/>
    <x v="473"/>
    <x v="23"/>
    <n v="49"/>
    <s v="UPI"/>
    <x v="0"/>
    <n v="38"/>
    <n v="1"/>
    <n v="0"/>
  </r>
  <r>
    <x v="479"/>
    <n v="291"/>
    <n v="25"/>
    <x v="14"/>
    <x v="2"/>
    <s v="travel"/>
    <x v="474"/>
    <x v="4"/>
    <n v="99"/>
    <s v="Wallet"/>
    <x v="0"/>
    <n v="86"/>
    <n v="0"/>
    <n v="1.4999999999999999E-2"/>
  </r>
  <r>
    <x v="480"/>
    <n v="197"/>
    <n v="9"/>
    <x v="39"/>
    <x v="1"/>
    <s v="ecommerce"/>
    <x v="475"/>
    <x v="0"/>
    <n v="49"/>
    <s v="Wallet"/>
    <x v="1"/>
    <n v="88"/>
    <n v="1"/>
    <n v="1.4999999999999999E-2"/>
  </r>
  <r>
    <x v="481"/>
    <n v="178"/>
    <n v="4"/>
    <x v="29"/>
    <x v="3"/>
    <s v="ecommerce"/>
    <x v="476"/>
    <x v="2"/>
    <n v="1499"/>
    <s v="UPI"/>
    <x v="0"/>
    <n v="12"/>
    <n v="1"/>
    <n v="0"/>
  </r>
  <r>
    <x v="482"/>
    <n v="39"/>
    <n v="22"/>
    <x v="3"/>
    <x v="2"/>
    <s v="travel"/>
    <x v="477"/>
    <x v="12"/>
    <n v="799"/>
    <s v="Netbanking"/>
    <x v="0"/>
    <n v="77"/>
    <n v="1"/>
    <n v="0.01"/>
  </r>
  <r>
    <x v="483"/>
    <n v="204"/>
    <n v="21"/>
    <x v="17"/>
    <x v="3"/>
    <s v="food_delivery"/>
    <x v="478"/>
    <x v="21"/>
    <n v="299"/>
    <s v="Wallet"/>
    <x v="0"/>
    <n v="3"/>
    <n v="1"/>
    <n v="1.4999999999999999E-2"/>
  </r>
  <r>
    <x v="484"/>
    <n v="231"/>
    <n v="32"/>
    <x v="33"/>
    <x v="0"/>
    <s v="food_delivery"/>
    <x v="479"/>
    <x v="8"/>
    <n v="299"/>
    <s v="UPI"/>
    <x v="0"/>
    <n v="29"/>
    <n v="0"/>
    <n v="0"/>
  </r>
  <r>
    <x v="485"/>
    <n v="222"/>
    <n v="12"/>
    <x v="9"/>
    <x v="3"/>
    <s v="ecommerce"/>
    <x v="480"/>
    <x v="28"/>
    <n v="499"/>
    <s v="Wallet"/>
    <x v="1"/>
    <n v="87"/>
    <n v="0"/>
    <n v="1.4999999999999999E-2"/>
  </r>
  <r>
    <x v="486"/>
    <n v="44"/>
    <n v="40"/>
    <x v="12"/>
    <x v="2"/>
    <s v="entertainment"/>
    <x v="481"/>
    <x v="23"/>
    <n v="499"/>
    <s v="UPI"/>
    <x v="0"/>
    <n v="37"/>
    <n v="0"/>
    <n v="0"/>
  </r>
  <r>
    <x v="487"/>
    <n v="38"/>
    <n v="6"/>
    <x v="18"/>
    <x v="2"/>
    <s v="food_delivery"/>
    <x v="482"/>
    <x v="16"/>
    <n v="49"/>
    <s v="Wallet"/>
    <x v="0"/>
    <n v="34"/>
    <n v="0"/>
    <n v="1.4999999999999999E-2"/>
  </r>
  <r>
    <x v="488"/>
    <n v="325"/>
    <n v="10"/>
    <x v="34"/>
    <x v="0"/>
    <s v="grocery"/>
    <x v="483"/>
    <x v="14"/>
    <n v="49"/>
    <s v="Netbanking"/>
    <x v="2"/>
    <n v="94"/>
    <n v="1"/>
    <n v="0.01"/>
  </r>
  <r>
    <x v="489"/>
    <n v="55"/>
    <n v="6"/>
    <x v="18"/>
    <x v="2"/>
    <s v="food_delivery"/>
    <x v="484"/>
    <x v="11"/>
    <n v="1499"/>
    <s v="Card"/>
    <x v="0"/>
    <n v="0"/>
    <n v="1"/>
    <n v="2.5000000000000001E-2"/>
  </r>
  <r>
    <x v="490"/>
    <n v="139"/>
    <n v="7"/>
    <x v="23"/>
    <x v="3"/>
    <s v="food_delivery"/>
    <x v="485"/>
    <x v="27"/>
    <n v="499"/>
    <s v="Card"/>
    <x v="0"/>
    <n v="16"/>
    <n v="1"/>
    <n v="2.5000000000000001E-2"/>
  </r>
  <r>
    <x v="491"/>
    <n v="230"/>
    <n v="36"/>
    <x v="25"/>
    <x v="3"/>
    <s v="entertainment"/>
    <x v="486"/>
    <x v="29"/>
    <n v="99"/>
    <s v="Wallet"/>
    <x v="0"/>
    <n v="71"/>
    <n v="0"/>
    <n v="1.4999999999999999E-2"/>
  </r>
  <r>
    <x v="492"/>
    <n v="14"/>
    <n v="6"/>
    <x v="18"/>
    <x v="2"/>
    <s v="food_delivery"/>
    <x v="487"/>
    <x v="18"/>
    <n v="799"/>
    <s v="Card"/>
    <x v="0"/>
    <n v="45"/>
    <n v="1"/>
    <n v="2.5000000000000001E-2"/>
  </r>
  <r>
    <x v="493"/>
    <n v="307"/>
    <n v="21"/>
    <x v="17"/>
    <x v="3"/>
    <s v="food_delivery"/>
    <x v="488"/>
    <x v="15"/>
    <n v="799"/>
    <s v="UPI"/>
    <x v="0"/>
    <n v="49"/>
    <n v="1"/>
    <n v="0"/>
  </r>
  <r>
    <x v="494"/>
    <n v="199"/>
    <n v="6"/>
    <x v="18"/>
    <x v="2"/>
    <s v="food_delivery"/>
    <x v="489"/>
    <x v="9"/>
    <n v="49"/>
    <s v="UPI"/>
    <x v="0"/>
    <n v="92"/>
    <n v="1"/>
    <n v="0"/>
  </r>
  <r>
    <x v="495"/>
    <n v="125"/>
    <n v="37"/>
    <x v="21"/>
    <x v="2"/>
    <s v="entertainment"/>
    <x v="490"/>
    <x v="0"/>
    <n v="149"/>
    <s v="Wallet"/>
    <x v="0"/>
    <n v="66"/>
    <n v="1"/>
    <n v="1.4999999999999999E-2"/>
  </r>
  <r>
    <x v="496"/>
    <n v="87"/>
    <n v="9"/>
    <x v="39"/>
    <x v="1"/>
    <s v="ecommerce"/>
    <x v="491"/>
    <x v="4"/>
    <n v="149"/>
    <s v="UPI"/>
    <x v="0"/>
    <n v="34"/>
    <n v="1"/>
    <n v="0"/>
  </r>
  <r>
    <x v="497"/>
    <n v="75"/>
    <n v="5"/>
    <x v="32"/>
    <x v="2"/>
    <s v="recharge"/>
    <x v="492"/>
    <x v="27"/>
    <n v="99"/>
    <s v="UPI"/>
    <x v="0"/>
    <n v="21"/>
    <n v="1"/>
    <n v="0"/>
  </r>
  <r>
    <x v="498"/>
    <n v="154"/>
    <n v="31"/>
    <x v="20"/>
    <x v="3"/>
    <s v="bill_payment"/>
    <x v="493"/>
    <x v="12"/>
    <n v="499"/>
    <s v="Wallet"/>
    <x v="0"/>
    <n v="100"/>
    <n v="1"/>
    <n v="1.4999999999999999E-2"/>
  </r>
  <r>
    <x v="499"/>
    <n v="127"/>
    <n v="32"/>
    <x v="33"/>
    <x v="0"/>
    <s v="food_delivery"/>
    <x v="494"/>
    <x v="29"/>
    <n v="149"/>
    <s v="Card"/>
    <x v="0"/>
    <n v="76"/>
    <n v="1"/>
    <n v="2.5000000000000001E-2"/>
  </r>
  <r>
    <x v="500"/>
    <n v="351"/>
    <n v="7"/>
    <x v="23"/>
    <x v="3"/>
    <s v="food_delivery"/>
    <x v="495"/>
    <x v="3"/>
    <n v="1999"/>
    <s v="Card"/>
    <x v="2"/>
    <n v="79"/>
    <n v="1"/>
    <n v="2.5000000000000001E-2"/>
  </r>
  <r>
    <x v="501"/>
    <n v="352"/>
    <n v="40"/>
    <x v="12"/>
    <x v="2"/>
    <s v="entertainment"/>
    <x v="496"/>
    <x v="7"/>
    <n v="4999"/>
    <s v="Card"/>
    <x v="2"/>
    <n v="95"/>
    <n v="1"/>
    <n v="2.5000000000000001E-2"/>
  </r>
  <r>
    <x v="502"/>
    <n v="353"/>
    <n v="28"/>
    <x v="10"/>
    <x v="2"/>
    <s v="ecommerce"/>
    <x v="497"/>
    <x v="8"/>
    <n v="1999"/>
    <s v="Card"/>
    <x v="2"/>
    <n v="79"/>
    <n v="1"/>
    <n v="2.5000000000000001E-2"/>
  </r>
  <r>
    <x v="503"/>
    <n v="354"/>
    <n v="13"/>
    <x v="6"/>
    <x v="3"/>
    <s v="travel"/>
    <x v="498"/>
    <x v="8"/>
    <n v="4999"/>
    <s v="Card"/>
    <x v="2"/>
    <n v="80"/>
    <n v="1"/>
    <n v="2.5000000000000001E-2"/>
  </r>
  <r>
    <x v="504"/>
    <n v="355"/>
    <n v="19"/>
    <x v="13"/>
    <x v="1"/>
    <s v="grocery"/>
    <x v="499"/>
    <x v="24"/>
    <n v="4999"/>
    <s v="Card"/>
    <x v="2"/>
    <n v="100"/>
    <n v="1"/>
    <n v="2.5000000000000001E-2"/>
  </r>
  <r>
    <x v="505"/>
    <n v="356"/>
    <n v="25"/>
    <x v="14"/>
    <x v="2"/>
    <s v="travel"/>
    <x v="500"/>
    <x v="0"/>
    <n v="2999"/>
    <s v="Card"/>
    <x v="2"/>
    <n v="96"/>
    <n v="0"/>
    <n v="2.5000000000000001E-2"/>
  </r>
  <r>
    <x v="506"/>
    <n v="357"/>
    <n v="37"/>
    <x v="21"/>
    <x v="2"/>
    <s v="entertainment"/>
    <x v="501"/>
    <x v="20"/>
    <n v="1999"/>
    <s v="Card"/>
    <x v="2"/>
    <n v="88"/>
    <n v="1"/>
    <n v="2.5000000000000001E-2"/>
  </r>
  <r>
    <x v="507"/>
    <n v="358"/>
    <n v="36"/>
    <x v="25"/>
    <x v="3"/>
    <s v="entertainment"/>
    <x v="502"/>
    <x v="19"/>
    <n v="999"/>
    <s v="Card"/>
    <x v="2"/>
    <n v="100"/>
    <n v="1"/>
    <n v="2.5000000000000001E-2"/>
  </r>
  <r>
    <x v="508"/>
    <n v="359"/>
    <n v="29"/>
    <x v="26"/>
    <x v="1"/>
    <s v="ecommerce"/>
    <x v="503"/>
    <x v="21"/>
    <n v="2999"/>
    <s v="Card"/>
    <x v="2"/>
    <n v="96"/>
    <n v="0"/>
    <n v="2.5000000000000001E-2"/>
  </r>
  <r>
    <x v="509"/>
    <n v="360"/>
    <n v="32"/>
    <x v="33"/>
    <x v="0"/>
    <s v="food_delivery"/>
    <x v="504"/>
    <x v="11"/>
    <n v="1999"/>
    <s v="Card"/>
    <x v="2"/>
    <n v="90"/>
    <n v="1"/>
    <n v="2.5000000000000001E-2"/>
  </r>
  <r>
    <x v="510"/>
    <n v="361"/>
    <n v="10"/>
    <x v="34"/>
    <x v="0"/>
    <s v="grocery"/>
    <x v="505"/>
    <x v="26"/>
    <n v="4999"/>
    <s v="Card"/>
    <x v="2"/>
    <n v="95"/>
    <n v="1"/>
    <n v="2.5000000000000001E-2"/>
  </r>
  <r>
    <x v="511"/>
    <n v="362"/>
    <n v="39"/>
    <x v="38"/>
    <x v="1"/>
    <s v="entertainment"/>
    <x v="506"/>
    <x v="20"/>
    <n v="4999"/>
    <s v="Card"/>
    <x v="2"/>
    <n v="88"/>
    <n v="1"/>
    <n v="2.5000000000000001E-2"/>
  </r>
  <r>
    <x v="512"/>
    <n v="363"/>
    <n v="27"/>
    <x v="1"/>
    <x v="1"/>
    <s v="ecommerce"/>
    <x v="507"/>
    <x v="20"/>
    <n v="999"/>
    <s v="Card"/>
    <x v="2"/>
    <n v="95"/>
    <n v="0"/>
    <n v="2.5000000000000001E-2"/>
  </r>
  <r>
    <x v="513"/>
    <n v="364"/>
    <n v="39"/>
    <x v="38"/>
    <x v="1"/>
    <s v="entertainment"/>
    <x v="508"/>
    <x v="13"/>
    <n v="999"/>
    <s v="Card"/>
    <x v="2"/>
    <n v="73"/>
    <n v="0"/>
    <n v="2.5000000000000001E-2"/>
  </r>
  <r>
    <x v="514"/>
    <n v="365"/>
    <n v="23"/>
    <x v="5"/>
    <x v="1"/>
    <s v="travel"/>
    <x v="509"/>
    <x v="15"/>
    <n v="1999"/>
    <s v="Card"/>
    <x v="2"/>
    <n v="90"/>
    <n v="1"/>
    <n v="2.5000000000000001E-2"/>
  </r>
  <r>
    <x v="515"/>
    <n v="314"/>
    <n v="26"/>
    <x v="22"/>
    <x v="3"/>
    <s v="food_delivery"/>
    <x v="510"/>
    <x v="22"/>
    <n v="399"/>
    <s v="Card"/>
    <x v="1"/>
    <n v="87"/>
    <n v="1"/>
    <n v="2.5000000000000001E-2"/>
  </r>
  <r>
    <x v="516"/>
    <n v="314"/>
    <n v="7"/>
    <x v="23"/>
    <x v="3"/>
    <s v="food_delivery"/>
    <x v="511"/>
    <x v="22"/>
    <n v="299"/>
    <s v="Card"/>
    <x v="1"/>
    <n v="66"/>
    <n v="0"/>
    <n v="2.5000000000000001E-2"/>
  </r>
  <r>
    <x v="517"/>
    <n v="314"/>
    <n v="17"/>
    <x v="28"/>
    <x v="1"/>
    <s v="grocery"/>
    <x v="512"/>
    <x v="22"/>
    <n v="299"/>
    <s v="Card"/>
    <x v="1"/>
    <n v="92"/>
    <n v="1"/>
    <n v="2.5000000000000001E-2"/>
  </r>
  <r>
    <x v="518"/>
    <n v="314"/>
    <n v="34"/>
    <x v="36"/>
    <x v="2"/>
    <s v="travel"/>
    <x v="513"/>
    <x v="22"/>
    <n v="499"/>
    <s v="Card"/>
    <x v="0"/>
    <n v="74"/>
    <n v="0"/>
    <n v="2.5000000000000001E-2"/>
  </r>
  <r>
    <x v="519"/>
    <n v="229"/>
    <n v="30"/>
    <x v="24"/>
    <x v="0"/>
    <s v="travel"/>
    <x v="514"/>
    <x v="28"/>
    <n v="499"/>
    <s v="Card"/>
    <x v="1"/>
    <n v="92"/>
    <n v="1"/>
    <n v="2.5000000000000001E-2"/>
  </r>
  <r>
    <x v="520"/>
    <n v="229"/>
    <n v="10"/>
    <x v="34"/>
    <x v="0"/>
    <s v="grocery"/>
    <x v="515"/>
    <x v="28"/>
    <n v="399"/>
    <s v="Card"/>
    <x v="1"/>
    <n v="61"/>
    <n v="1"/>
    <n v="2.5000000000000001E-2"/>
  </r>
  <r>
    <x v="521"/>
    <n v="229"/>
    <n v="31"/>
    <x v="20"/>
    <x v="3"/>
    <s v="bill_payment"/>
    <x v="516"/>
    <x v="28"/>
    <n v="299"/>
    <s v="Card"/>
    <x v="1"/>
    <n v="78"/>
    <n v="1"/>
    <n v="2.5000000000000001E-2"/>
  </r>
  <r>
    <x v="522"/>
    <n v="229"/>
    <n v="27"/>
    <x v="1"/>
    <x v="1"/>
    <s v="ecommerce"/>
    <x v="517"/>
    <x v="28"/>
    <n v="299"/>
    <s v="Card"/>
    <x v="0"/>
    <n v="67"/>
    <n v="1"/>
    <n v="2.5000000000000001E-2"/>
  </r>
  <r>
    <x v="523"/>
    <n v="73"/>
    <n v="22"/>
    <x v="3"/>
    <x v="2"/>
    <s v="travel"/>
    <x v="518"/>
    <x v="28"/>
    <n v="399"/>
    <s v="Card"/>
    <x v="1"/>
    <n v="73"/>
    <n v="0"/>
    <n v="2.5000000000000001E-2"/>
  </r>
  <r>
    <x v="524"/>
    <n v="73"/>
    <n v="34"/>
    <x v="36"/>
    <x v="2"/>
    <s v="travel"/>
    <x v="519"/>
    <x v="28"/>
    <n v="399"/>
    <s v="Card"/>
    <x v="1"/>
    <n v="82"/>
    <n v="1"/>
    <n v="2.5000000000000001E-2"/>
  </r>
  <r>
    <x v="525"/>
    <n v="73"/>
    <n v="31"/>
    <x v="20"/>
    <x v="3"/>
    <s v="bill_payment"/>
    <x v="520"/>
    <x v="28"/>
    <n v="299"/>
    <s v="Card"/>
    <x v="1"/>
    <n v="88"/>
    <n v="0"/>
    <n v="2.5000000000000001E-2"/>
  </r>
  <r>
    <x v="526"/>
    <n v="73"/>
    <n v="29"/>
    <x v="26"/>
    <x v="1"/>
    <s v="ecommerce"/>
    <x v="521"/>
    <x v="28"/>
    <n v="399"/>
    <s v="Card"/>
    <x v="0"/>
    <n v="64"/>
    <n v="1"/>
    <n v="2.5000000000000001E-2"/>
  </r>
  <r>
    <x v="527"/>
    <n v="154"/>
    <n v="8"/>
    <x v="30"/>
    <x v="1"/>
    <s v="food_delivery"/>
    <x v="522"/>
    <x v="22"/>
    <n v="299"/>
    <s v="Card"/>
    <x v="1"/>
    <n v="81"/>
    <n v="1"/>
    <n v="2.5000000000000001E-2"/>
  </r>
  <r>
    <x v="528"/>
    <n v="154"/>
    <n v="7"/>
    <x v="23"/>
    <x v="3"/>
    <s v="food_delivery"/>
    <x v="523"/>
    <x v="22"/>
    <n v="499"/>
    <s v="Card"/>
    <x v="1"/>
    <n v="70"/>
    <n v="0"/>
    <n v="2.5000000000000001E-2"/>
  </r>
  <r>
    <x v="529"/>
    <n v="154"/>
    <n v="16"/>
    <x v="0"/>
    <x v="0"/>
    <s v="bill_payment"/>
    <x v="524"/>
    <x v="22"/>
    <n v="499"/>
    <s v="Card"/>
    <x v="1"/>
    <n v="71"/>
    <n v="1"/>
    <n v="2.5000000000000001E-2"/>
  </r>
  <r>
    <x v="530"/>
    <n v="154"/>
    <n v="36"/>
    <x v="25"/>
    <x v="3"/>
    <s v="entertainment"/>
    <x v="525"/>
    <x v="22"/>
    <n v="299"/>
    <s v="Card"/>
    <x v="0"/>
    <n v="81"/>
    <n v="1"/>
    <n v="2.5000000000000001E-2"/>
  </r>
  <r>
    <x v="531"/>
    <n v="287"/>
    <n v="15"/>
    <x v="19"/>
    <x v="1"/>
    <s v="travel"/>
    <x v="526"/>
    <x v="12"/>
    <n v="399"/>
    <s v="Card"/>
    <x v="1"/>
    <n v="71"/>
    <n v="1"/>
    <n v="2.5000000000000001E-2"/>
  </r>
  <r>
    <x v="532"/>
    <n v="287"/>
    <n v="12"/>
    <x v="9"/>
    <x v="3"/>
    <s v="ecommerce"/>
    <x v="527"/>
    <x v="12"/>
    <n v="499"/>
    <s v="Card"/>
    <x v="1"/>
    <n v="87"/>
    <n v="0"/>
    <n v="2.5000000000000001E-2"/>
  </r>
  <r>
    <x v="533"/>
    <n v="287"/>
    <n v="26"/>
    <x v="22"/>
    <x v="3"/>
    <s v="food_delivery"/>
    <x v="528"/>
    <x v="12"/>
    <n v="299"/>
    <s v="Card"/>
    <x v="1"/>
    <n v="72"/>
    <n v="1"/>
    <n v="2.5000000000000001E-2"/>
  </r>
  <r>
    <x v="534"/>
    <n v="287"/>
    <n v="29"/>
    <x v="26"/>
    <x v="1"/>
    <s v="ecommerce"/>
    <x v="529"/>
    <x v="12"/>
    <n v="499"/>
    <s v="Card"/>
    <x v="0"/>
    <n v="87"/>
    <n v="0"/>
    <n v="2.5000000000000001E-2"/>
  </r>
  <r>
    <x v="535"/>
    <n v="200"/>
    <n v="14"/>
    <x v="16"/>
    <x v="3"/>
    <s v="grocery"/>
    <x v="530"/>
    <x v="9"/>
    <n v="299"/>
    <s v="Card"/>
    <x v="1"/>
    <n v="77"/>
    <n v="1"/>
    <n v="2.5000000000000001E-2"/>
  </r>
  <r>
    <x v="536"/>
    <n v="200"/>
    <n v="5"/>
    <x v="32"/>
    <x v="2"/>
    <s v="recharge"/>
    <x v="531"/>
    <x v="9"/>
    <n v="499"/>
    <s v="Card"/>
    <x v="1"/>
    <n v="66"/>
    <n v="1"/>
    <n v="2.5000000000000001E-2"/>
  </r>
  <r>
    <x v="537"/>
    <n v="200"/>
    <n v="35"/>
    <x v="8"/>
    <x v="3"/>
    <s v="recharge"/>
    <x v="532"/>
    <x v="9"/>
    <n v="299"/>
    <s v="Card"/>
    <x v="1"/>
    <n v="83"/>
    <n v="0"/>
    <n v="2.5000000000000001E-2"/>
  </r>
  <r>
    <x v="538"/>
    <n v="200"/>
    <n v="21"/>
    <x v="17"/>
    <x v="3"/>
    <s v="food_delivery"/>
    <x v="533"/>
    <x v="9"/>
    <n v="299"/>
    <s v="Card"/>
    <x v="0"/>
    <n v="89"/>
    <n v="0"/>
    <n v="2.5000000000000001E-2"/>
  </r>
  <r>
    <x v="539"/>
    <n v="59"/>
    <n v="32"/>
    <x v="33"/>
    <x v="0"/>
    <s v="food_delivery"/>
    <x v="534"/>
    <x v="10"/>
    <n v="499"/>
    <s v="Card"/>
    <x v="1"/>
    <n v="80"/>
    <n v="1"/>
    <n v="2.5000000000000001E-2"/>
  </r>
  <r>
    <x v="540"/>
    <n v="59"/>
    <n v="39"/>
    <x v="38"/>
    <x v="1"/>
    <s v="entertainment"/>
    <x v="535"/>
    <x v="10"/>
    <n v="399"/>
    <s v="Card"/>
    <x v="1"/>
    <n v="85"/>
    <n v="1"/>
    <n v="2.5000000000000001E-2"/>
  </r>
  <r>
    <x v="541"/>
    <n v="59"/>
    <n v="38"/>
    <x v="35"/>
    <x v="3"/>
    <s v="grocery"/>
    <x v="536"/>
    <x v="10"/>
    <n v="299"/>
    <s v="Card"/>
    <x v="1"/>
    <n v="82"/>
    <n v="0"/>
    <n v="2.5000000000000001E-2"/>
  </r>
  <r>
    <x v="542"/>
    <n v="59"/>
    <n v="23"/>
    <x v="5"/>
    <x v="1"/>
    <s v="travel"/>
    <x v="537"/>
    <x v="10"/>
    <n v="399"/>
    <s v="Card"/>
    <x v="0"/>
    <n v="71"/>
    <n v="1"/>
    <n v="2.5000000000000001E-2"/>
  </r>
  <r>
    <x v="543"/>
    <n v="345"/>
    <n v="40"/>
    <x v="12"/>
    <x v="2"/>
    <s v="entertainment"/>
    <x v="538"/>
    <x v="20"/>
    <n v="499"/>
    <s v="Card"/>
    <x v="1"/>
    <n v="65"/>
    <n v="0"/>
    <n v="2.5000000000000001E-2"/>
  </r>
  <r>
    <x v="544"/>
    <n v="345"/>
    <n v="9"/>
    <x v="39"/>
    <x v="1"/>
    <s v="ecommerce"/>
    <x v="539"/>
    <x v="20"/>
    <n v="399"/>
    <s v="Card"/>
    <x v="1"/>
    <n v="67"/>
    <n v="0"/>
    <n v="2.5000000000000001E-2"/>
  </r>
  <r>
    <x v="545"/>
    <n v="345"/>
    <n v="16"/>
    <x v="0"/>
    <x v="0"/>
    <s v="bill_payment"/>
    <x v="540"/>
    <x v="20"/>
    <n v="399"/>
    <s v="Card"/>
    <x v="1"/>
    <n v="67"/>
    <n v="1"/>
    <n v="2.5000000000000001E-2"/>
  </r>
  <r>
    <x v="546"/>
    <n v="345"/>
    <n v="12"/>
    <x v="9"/>
    <x v="3"/>
    <s v="ecommerce"/>
    <x v="541"/>
    <x v="20"/>
    <n v="399"/>
    <s v="Card"/>
    <x v="0"/>
    <n v="69"/>
    <n v="0"/>
    <n v="2.5000000000000001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56F7B1-1272-4720-8EF9-0092F00A423F}" name="PivotTable1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447" firstHeaderRow="1" firstDataRow="1" firstDataCol="3"/>
  <pivotFields count="17">
    <pivotField compact="0" outline="0" showAll="0" defaultSubtotal="0"/>
    <pivotField compact="0" outline="0" showAll="0" defaultSubtotal="0"/>
    <pivotField compact="0" outline="0" showAll="0" defaultSubtotal="0"/>
    <pivotField name="Merchant Name" axis="axisRow" compact="0" outline="0" showAll="0" defaultSubtotal="0">
      <items count="40">
        <item x="37"/>
        <item x="27"/>
        <item x="4"/>
        <item x="29"/>
        <item x="32"/>
        <item x="18"/>
        <item x="23"/>
        <item x="30"/>
        <item x="39"/>
        <item x="34"/>
        <item x="2"/>
        <item x="9"/>
        <item x="6"/>
        <item x="16"/>
        <item x="19"/>
        <item x="0"/>
        <item x="28"/>
        <item x="7"/>
        <item x="13"/>
        <item x="15"/>
        <item x="17"/>
        <item x="3"/>
        <item x="5"/>
        <item x="31"/>
        <item x="14"/>
        <item x="22"/>
        <item x="1"/>
        <item x="10"/>
        <item x="26"/>
        <item x="24"/>
        <item x="20"/>
        <item x="33"/>
        <item x="11"/>
        <item x="36"/>
        <item x="8"/>
        <item x="25"/>
        <item x="21"/>
        <item x="35"/>
        <item x="38"/>
        <item x="12"/>
      </items>
    </pivotField>
    <pivotField axis="axisRow" compact="0" outline="0" showAll="0" defaultSubtotal="0">
      <items count="4">
        <item x="3"/>
        <item x="1"/>
        <item x="2"/>
        <item x="0"/>
      </items>
    </pivotField>
    <pivotField compact="0" outline="0" showAll="0" defaultSubtotal="0"/>
    <pivotField compact="0" numFmtId="22" outline="0" showAll="0" defaultSubtotal="0">
      <items count="542">
        <item x="106"/>
        <item x="346"/>
        <item x="10"/>
        <item x="217"/>
        <item x="54"/>
        <item x="274"/>
        <item x="489"/>
        <item x="419"/>
        <item x="271"/>
        <item x="43"/>
        <item x="457"/>
        <item x="70"/>
        <item x="166"/>
        <item x="107"/>
        <item x="530"/>
        <item x="531"/>
        <item x="532"/>
        <item x="533"/>
        <item x="471"/>
        <item x="101"/>
        <item x="41"/>
        <item x="168"/>
        <item x="177"/>
        <item x="237"/>
        <item x="425"/>
        <item x="412"/>
        <item x="456"/>
        <item x="510"/>
        <item x="511"/>
        <item x="512"/>
        <item x="513"/>
        <item x="138"/>
        <item x="93"/>
        <item x="522"/>
        <item x="523"/>
        <item x="524"/>
        <item x="525"/>
        <item x="186"/>
        <item x="211"/>
        <item x="330"/>
        <item x="196"/>
        <item x="320"/>
        <item x="162"/>
        <item x="267"/>
        <item x="486"/>
        <item x="304"/>
        <item x="113"/>
        <item x="298"/>
        <item x="494"/>
        <item x="465"/>
        <item x="375"/>
        <item x="343"/>
        <item x="438"/>
        <item x="408"/>
        <item x="243"/>
        <item x="178"/>
        <item x="313"/>
        <item x="289"/>
        <item x="405"/>
        <item x="463"/>
        <item x="111"/>
        <item x="294"/>
        <item x="1"/>
        <item x="224"/>
        <item x="350"/>
        <item x="58"/>
        <item x="156"/>
        <item x="399"/>
        <item x="181"/>
        <item x="26"/>
        <item x="272"/>
        <item x="242"/>
        <item x="311"/>
        <item x="135"/>
        <item x="339"/>
        <item x="18"/>
        <item x="39"/>
        <item x="142"/>
        <item x="231"/>
        <item x="190"/>
        <item x="483"/>
        <item x="394"/>
        <item x="307"/>
        <item x="159"/>
        <item x="89"/>
        <item x="303"/>
        <item x="29"/>
        <item x="85"/>
        <item x="208"/>
        <item x="391"/>
        <item x="87"/>
        <item x="207"/>
        <item x="210"/>
        <item x="245"/>
        <item x="355"/>
        <item x="95"/>
        <item x="474"/>
        <item x="109"/>
        <item x="491"/>
        <item x="5"/>
        <item x="140"/>
        <item x="65"/>
        <item x="454"/>
        <item x="290"/>
        <item x="423"/>
        <item x="201"/>
        <item x="94"/>
        <item x="442"/>
        <item x="71"/>
        <item x="364"/>
        <item x="56"/>
        <item x="331"/>
        <item x="362"/>
        <item x="55"/>
        <item x="6"/>
        <item x="400"/>
        <item x="45"/>
        <item x="97"/>
        <item x="370"/>
        <item x="203"/>
        <item x="338"/>
        <item x="53"/>
        <item x="333"/>
        <item x="403"/>
        <item x="279"/>
        <item x="285"/>
        <item x="411"/>
        <item x="84"/>
        <item x="11"/>
        <item x="183"/>
        <item x="292"/>
        <item x="296"/>
        <item x="79"/>
        <item x="218"/>
        <item x="50"/>
        <item x="122"/>
        <item x="146"/>
        <item x="149"/>
        <item x="117"/>
        <item x="301"/>
        <item x="534"/>
        <item x="535"/>
        <item x="536"/>
        <item x="537"/>
        <item x="155"/>
        <item x="284"/>
        <item x="462"/>
        <item x="216"/>
        <item x="276"/>
        <item x="256"/>
        <item x="82"/>
        <item x="324"/>
        <item x="398"/>
        <item x="430"/>
        <item x="492"/>
        <item x="434"/>
        <item x="485"/>
        <item x="387"/>
        <item x="167"/>
        <item x="250"/>
        <item x="310"/>
        <item x="126"/>
        <item x="249"/>
        <item x="179"/>
        <item x="228"/>
        <item x="367"/>
        <item x="295"/>
        <item x="390"/>
        <item x="451"/>
        <item x="8"/>
        <item x="445"/>
        <item x="38"/>
        <item x="496"/>
        <item x="51"/>
        <item x="33"/>
        <item x="353"/>
        <item x="128"/>
        <item x="46"/>
        <item x="459"/>
        <item x="293"/>
        <item x="163"/>
        <item x="421"/>
        <item x="83"/>
        <item x="270"/>
        <item x="182"/>
        <item x="518"/>
        <item x="519"/>
        <item x="520"/>
        <item x="521"/>
        <item x="254"/>
        <item x="446"/>
        <item x="448"/>
        <item x="514"/>
        <item x="515"/>
        <item x="516"/>
        <item x="517"/>
        <item x="347"/>
        <item x="317"/>
        <item x="287"/>
        <item x="202"/>
        <item x="480"/>
        <item x="174"/>
        <item x="151"/>
        <item x="199"/>
        <item x="368"/>
        <item x="397"/>
        <item x="258"/>
        <item x="437"/>
        <item x="395"/>
        <item x="130"/>
        <item x="152"/>
        <item x="175"/>
        <item x="484"/>
        <item x="466"/>
        <item x="504"/>
        <item x="283"/>
        <item x="88"/>
        <item x="114"/>
        <item x="305"/>
        <item x="13"/>
        <item x="165"/>
        <item x="221"/>
        <item x="461"/>
        <item x="14"/>
        <item x="115"/>
        <item x="120"/>
        <item x="15"/>
        <item x="49"/>
        <item x="414"/>
        <item x="30"/>
        <item x="477"/>
        <item x="340"/>
        <item x="493"/>
        <item x="64"/>
        <item x="40"/>
        <item x="526"/>
        <item x="527"/>
        <item x="528"/>
        <item x="529"/>
        <item x="188"/>
        <item x="194"/>
        <item x="238"/>
        <item x="157"/>
        <item x="300"/>
        <item x="37"/>
        <item x="407"/>
        <item x="447"/>
        <item x="34"/>
        <item x="335"/>
        <item x="193"/>
        <item x="363"/>
        <item x="306"/>
        <item x="148"/>
        <item x="173"/>
        <item x="22"/>
        <item x="342"/>
        <item x="192"/>
        <item x="404"/>
        <item x="123"/>
        <item x="240"/>
        <item x="69"/>
        <item x="187"/>
        <item x="388"/>
        <item x="321"/>
        <item x="410"/>
        <item x="103"/>
        <item x="96"/>
        <item x="225"/>
        <item x="357"/>
        <item x="52"/>
        <item x="432"/>
        <item x="118"/>
        <item x="127"/>
        <item x="386"/>
        <item x="376"/>
        <item x="255"/>
        <item x="369"/>
        <item x="359"/>
        <item x="110"/>
        <item x="499"/>
        <item x="236"/>
        <item x="77"/>
        <item x="352"/>
        <item x="323"/>
        <item x="227"/>
        <item x="214"/>
        <item x="418"/>
        <item x="73"/>
        <item x="209"/>
        <item x="229"/>
        <item x="315"/>
        <item x="325"/>
        <item x="393"/>
        <item x="433"/>
        <item x="308"/>
        <item x="487"/>
        <item x="264"/>
        <item x="409"/>
        <item x="134"/>
        <item x="356"/>
        <item x="282"/>
        <item x="133"/>
        <item x="24"/>
        <item x="124"/>
        <item x="20"/>
        <item x="327"/>
        <item x="488"/>
        <item x="164"/>
        <item x="266"/>
        <item x="381"/>
        <item x="74"/>
        <item x="31"/>
        <item x="78"/>
        <item x="366"/>
        <item x="420"/>
        <item x="436"/>
        <item x="90"/>
        <item x="62"/>
        <item x="104"/>
        <item x="322"/>
        <item x="452"/>
        <item x="509"/>
        <item x="384"/>
        <item x="185"/>
        <item x="328"/>
        <item x="473"/>
        <item x="378"/>
        <item x="86"/>
        <item x="358"/>
        <item x="344"/>
        <item x="223"/>
        <item x="263"/>
        <item x="406"/>
        <item x="348"/>
        <item x="198"/>
        <item x="48"/>
        <item x="481"/>
        <item x="42"/>
        <item x="450"/>
        <item x="396"/>
        <item x="441"/>
        <item x="286"/>
        <item x="61"/>
        <item x="297"/>
        <item x="505"/>
        <item x="200"/>
        <item x="280"/>
        <item x="172"/>
        <item x="213"/>
        <item x="464"/>
        <item x="275"/>
        <item x="278"/>
        <item x="440"/>
        <item x="57"/>
        <item x="345"/>
        <item x="424"/>
        <item x="251"/>
        <item x="444"/>
        <item x="299"/>
        <item x="467"/>
        <item x="383"/>
        <item x="239"/>
        <item x="121"/>
        <item x="100"/>
        <item x="241"/>
        <item x="382"/>
        <item x="379"/>
        <item x="479"/>
        <item x="63"/>
        <item x="247"/>
        <item x="252"/>
        <item x="302"/>
        <item x="497"/>
        <item x="9"/>
        <item x="326"/>
        <item x="498"/>
        <item x="253"/>
        <item x="361"/>
        <item x="472"/>
        <item x="212"/>
        <item x="16"/>
        <item x="392"/>
        <item x="176"/>
        <item x="98"/>
        <item x="195"/>
        <item x="257"/>
        <item x="248"/>
        <item x="112"/>
        <item x="17"/>
        <item x="288"/>
        <item x="460"/>
        <item x="373"/>
        <item x="204"/>
        <item x="281"/>
        <item x="215"/>
        <item x="416"/>
        <item x="508"/>
        <item x="170"/>
        <item x="334"/>
        <item x="506"/>
        <item x="458"/>
        <item x="119"/>
        <item x="76"/>
        <item x="220"/>
        <item x="377"/>
        <item x="538"/>
        <item x="539"/>
        <item x="540"/>
        <item x="541"/>
        <item x="206"/>
        <item x="191"/>
        <item x="501"/>
        <item x="136"/>
        <item x="244"/>
        <item x="380"/>
        <item x="371"/>
        <item x="273"/>
        <item x="507"/>
        <item x="60"/>
        <item x="28"/>
        <item x="314"/>
        <item x="360"/>
        <item x="365"/>
        <item x="139"/>
        <item x="184"/>
        <item x="476"/>
        <item x="443"/>
        <item x="449"/>
        <item x="2"/>
        <item x="19"/>
        <item x="439"/>
        <item x="260"/>
        <item x="341"/>
        <item x="12"/>
        <item x="197"/>
        <item x="219"/>
        <item x="259"/>
        <item x="261"/>
        <item x="81"/>
        <item x="319"/>
        <item x="131"/>
        <item x="153"/>
        <item x="455"/>
        <item x="80"/>
        <item x="401"/>
        <item x="171"/>
        <item x="44"/>
        <item x="426"/>
        <item x="351"/>
        <item x="108"/>
        <item x="35"/>
        <item x="309"/>
        <item x="246"/>
        <item x="337"/>
        <item x="125"/>
        <item x="116"/>
        <item x="91"/>
        <item x="36"/>
        <item x="402"/>
        <item x="233"/>
        <item x="478"/>
        <item x="232"/>
        <item x="428"/>
        <item x="503"/>
        <item x="75"/>
        <item x="141"/>
        <item x="374"/>
        <item x="143"/>
        <item x="99"/>
        <item x="482"/>
        <item x="161"/>
        <item x="154"/>
        <item x="32"/>
        <item x="316"/>
        <item x="262"/>
        <item x="66"/>
        <item x="21"/>
        <item x="277"/>
        <item x="132"/>
        <item x="422"/>
        <item x="312"/>
        <item x="23"/>
        <item x="68"/>
        <item x="7"/>
        <item x="25"/>
        <item x="268"/>
        <item x="453"/>
        <item x="102"/>
        <item x="349"/>
        <item x="230"/>
        <item x="205"/>
        <item x="427"/>
        <item x="67"/>
        <item x="27"/>
        <item x="226"/>
        <item x="180"/>
        <item x="502"/>
        <item x="435"/>
        <item x="265"/>
        <item x="417"/>
        <item x="144"/>
        <item x="468"/>
        <item x="150"/>
        <item x="389"/>
        <item x="137"/>
        <item x="92"/>
        <item x="235"/>
        <item x="336"/>
        <item x="318"/>
        <item x="189"/>
        <item x="429"/>
        <item x="385"/>
        <item x="500"/>
        <item x="147"/>
        <item x="0"/>
        <item x="415"/>
        <item x="3"/>
        <item x="105"/>
        <item x="354"/>
        <item x="469"/>
        <item x="169"/>
        <item x="475"/>
        <item x="490"/>
        <item x="329"/>
        <item x="72"/>
        <item x="332"/>
        <item x="470"/>
        <item x="269"/>
        <item x="222"/>
        <item x="413"/>
        <item x="47"/>
        <item x="431"/>
        <item x="495"/>
        <item x="160"/>
        <item x="158"/>
        <item x="291"/>
        <item x="129"/>
        <item x="59"/>
        <item x="4"/>
        <item x="145"/>
        <item x="234"/>
        <item x="372"/>
      </items>
    </pivotField>
    <pivotField name="Date" axis="axisRow" compact="0" numFmtId="14" outline="0" showAll="0" defaultSubtotal="0">
      <items count="30">
        <item x="9"/>
        <item x="22"/>
        <item x="29"/>
        <item x="1"/>
        <item x="14"/>
        <item x="4"/>
        <item x="25"/>
        <item x="5"/>
        <item x="10"/>
        <item x="27"/>
        <item x="7"/>
        <item x="28"/>
        <item x="11"/>
        <item x="12"/>
        <item x="17"/>
        <item x="24"/>
        <item x="18"/>
        <item x="15"/>
        <item x="23"/>
        <item x="26"/>
        <item x="8"/>
        <item x="13"/>
        <item x="20"/>
        <item x="2"/>
        <item x="21"/>
        <item x="16"/>
        <item x="6"/>
        <item x="19"/>
        <item x="0"/>
        <item x="3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compact="0" outline="0"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  <pivotField compact="0" outline="0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</pivotFields>
  <rowFields count="3">
    <field x="3"/>
    <field x="7"/>
    <field x="4"/>
  </rowFields>
  <rowItems count="444">
    <i>
      <x/>
      <x v="4"/>
      <x v="2"/>
    </i>
    <i r="1">
      <x v="5"/>
      <x v="2"/>
    </i>
    <i r="1">
      <x v="8"/>
      <x v="2"/>
    </i>
    <i r="1">
      <x v="10"/>
      <x v="2"/>
    </i>
    <i r="1">
      <x v="11"/>
      <x v="2"/>
    </i>
    <i r="1">
      <x v="16"/>
      <x v="2"/>
    </i>
    <i r="1">
      <x v="22"/>
      <x v="2"/>
    </i>
    <i>
      <x v="1"/>
      <x v="6"/>
      <x v="3"/>
    </i>
    <i r="1">
      <x v="7"/>
      <x v="3"/>
    </i>
    <i r="1">
      <x v="11"/>
      <x v="3"/>
    </i>
    <i r="1">
      <x v="12"/>
      <x v="3"/>
    </i>
    <i r="1">
      <x v="14"/>
      <x v="3"/>
    </i>
    <i r="1">
      <x v="18"/>
      <x v="3"/>
    </i>
    <i r="1">
      <x v="21"/>
      <x v="3"/>
    </i>
    <i r="1">
      <x v="25"/>
      <x v="3"/>
    </i>
    <i r="1">
      <x v="29"/>
      <x v="3"/>
    </i>
    <i>
      <x v="2"/>
      <x v="2"/>
      <x/>
    </i>
    <i r="1">
      <x v="4"/>
      <x/>
    </i>
    <i r="1">
      <x v="5"/>
      <x/>
    </i>
    <i r="1">
      <x v="6"/>
      <x/>
    </i>
    <i r="1">
      <x v="7"/>
      <x/>
    </i>
    <i r="1">
      <x v="12"/>
      <x/>
    </i>
    <i r="1">
      <x v="15"/>
      <x/>
    </i>
    <i r="1">
      <x v="19"/>
      <x/>
    </i>
    <i r="1">
      <x v="21"/>
      <x/>
    </i>
    <i r="1">
      <x v="22"/>
      <x/>
    </i>
    <i r="1">
      <x v="25"/>
      <x/>
    </i>
    <i r="1">
      <x v="28"/>
      <x/>
    </i>
    <i r="1">
      <x v="29"/>
      <x/>
    </i>
    <i>
      <x v="3"/>
      <x v="1"/>
      <x/>
    </i>
    <i r="1">
      <x v="11"/>
      <x/>
    </i>
    <i r="1">
      <x v="12"/>
      <x/>
    </i>
    <i r="1">
      <x v="15"/>
      <x/>
    </i>
    <i r="1">
      <x v="16"/>
      <x/>
    </i>
    <i r="1">
      <x v="23"/>
      <x/>
    </i>
    <i r="1">
      <x v="24"/>
      <x/>
    </i>
    <i>
      <x v="4"/>
      <x/>
      <x v="2"/>
    </i>
    <i r="1">
      <x v="2"/>
      <x v="2"/>
    </i>
    <i r="1">
      <x v="8"/>
      <x v="2"/>
    </i>
    <i r="1">
      <x v="9"/>
      <x v="2"/>
    </i>
    <i r="1">
      <x v="14"/>
      <x v="2"/>
    </i>
    <i r="1">
      <x v="16"/>
      <x v="2"/>
    </i>
    <i r="1">
      <x v="17"/>
      <x v="2"/>
    </i>
    <i r="1">
      <x v="18"/>
      <x v="2"/>
    </i>
    <i r="1">
      <x v="29"/>
      <x v="2"/>
    </i>
    <i>
      <x v="5"/>
      <x/>
      <x v="2"/>
    </i>
    <i r="1">
      <x v="2"/>
      <x v="2"/>
    </i>
    <i r="1">
      <x v="4"/>
      <x v="2"/>
    </i>
    <i r="1">
      <x v="7"/>
      <x v="2"/>
    </i>
    <i r="1">
      <x v="8"/>
      <x v="2"/>
    </i>
    <i r="1">
      <x v="10"/>
      <x v="2"/>
    </i>
    <i r="1">
      <x v="12"/>
      <x v="2"/>
    </i>
    <i r="1">
      <x v="14"/>
      <x v="2"/>
    </i>
    <i r="1">
      <x v="16"/>
      <x v="2"/>
    </i>
    <i r="1">
      <x v="18"/>
      <x v="2"/>
    </i>
    <i r="1">
      <x v="20"/>
      <x v="2"/>
    </i>
    <i r="1">
      <x v="25"/>
      <x v="2"/>
    </i>
    <i>
      <x v="6"/>
      <x v="1"/>
      <x/>
    </i>
    <i r="1">
      <x v="2"/>
      <x/>
    </i>
    <i r="1">
      <x v="4"/>
      <x/>
    </i>
    <i r="1">
      <x v="7"/>
      <x/>
    </i>
    <i r="1">
      <x v="9"/>
      <x/>
    </i>
    <i r="1">
      <x v="14"/>
      <x/>
    </i>
    <i r="1">
      <x v="16"/>
      <x/>
    </i>
    <i r="1">
      <x v="20"/>
      <x/>
    </i>
    <i r="1">
      <x v="23"/>
      <x/>
    </i>
    <i r="1">
      <x v="24"/>
      <x/>
    </i>
    <i r="1">
      <x v="29"/>
      <x/>
    </i>
    <i>
      <x v="7"/>
      <x v="1"/>
      <x v="1"/>
    </i>
    <i r="1">
      <x v="2"/>
      <x v="1"/>
    </i>
    <i r="1">
      <x v="5"/>
      <x v="1"/>
    </i>
    <i r="1">
      <x v="7"/>
      <x v="1"/>
    </i>
    <i r="1">
      <x v="10"/>
      <x v="1"/>
    </i>
    <i r="1">
      <x v="11"/>
      <x v="1"/>
    </i>
    <i r="1">
      <x v="15"/>
      <x v="1"/>
    </i>
    <i r="1">
      <x v="16"/>
      <x v="1"/>
    </i>
    <i r="1">
      <x v="17"/>
      <x v="1"/>
    </i>
    <i r="1">
      <x v="18"/>
      <x v="1"/>
    </i>
    <i r="1">
      <x v="25"/>
      <x v="1"/>
    </i>
    <i r="1">
      <x v="26"/>
      <x v="1"/>
    </i>
    <i r="1">
      <x v="29"/>
      <x v="1"/>
    </i>
    <i>
      <x v="8"/>
      <x/>
      <x v="1"/>
    </i>
    <i r="1">
      <x v="3"/>
      <x v="1"/>
    </i>
    <i r="1">
      <x v="4"/>
      <x v="1"/>
    </i>
    <i r="1">
      <x v="5"/>
      <x v="1"/>
    </i>
    <i r="1">
      <x v="8"/>
      <x v="1"/>
    </i>
    <i r="1">
      <x v="9"/>
      <x v="1"/>
    </i>
    <i r="1">
      <x v="11"/>
      <x v="1"/>
    </i>
    <i r="1">
      <x v="14"/>
      <x v="1"/>
    </i>
    <i r="1">
      <x v="16"/>
      <x v="1"/>
    </i>
    <i r="1">
      <x v="17"/>
      <x v="1"/>
    </i>
    <i r="1">
      <x v="18"/>
      <x v="1"/>
    </i>
    <i r="1">
      <x v="21"/>
      <x v="1"/>
    </i>
    <i r="1">
      <x v="22"/>
      <x v="1"/>
    </i>
    <i r="1">
      <x v="28"/>
      <x v="1"/>
    </i>
    <i>
      <x v="9"/>
      <x v="4"/>
      <x v="3"/>
    </i>
    <i r="1">
      <x v="7"/>
      <x v="3"/>
    </i>
    <i r="1">
      <x v="10"/>
      <x v="3"/>
    </i>
    <i r="1">
      <x v="11"/>
      <x v="3"/>
    </i>
    <i r="1">
      <x v="12"/>
      <x v="3"/>
    </i>
    <i r="1">
      <x v="13"/>
      <x v="3"/>
    </i>
    <i r="1">
      <x v="14"/>
      <x v="3"/>
    </i>
    <i r="1">
      <x v="15"/>
      <x v="3"/>
    </i>
    <i r="1">
      <x v="18"/>
      <x v="3"/>
    </i>
    <i r="1">
      <x v="19"/>
      <x v="3"/>
    </i>
    <i r="1">
      <x v="20"/>
      <x v="3"/>
    </i>
    <i r="1">
      <x v="28"/>
      <x v="3"/>
    </i>
    <i>
      <x v="10"/>
      <x v="3"/>
      <x v="1"/>
    </i>
    <i r="1">
      <x v="5"/>
      <x v="1"/>
    </i>
    <i r="1">
      <x v="6"/>
      <x v="1"/>
    </i>
    <i r="1">
      <x v="10"/>
      <x v="1"/>
    </i>
    <i r="1">
      <x v="17"/>
      <x v="1"/>
    </i>
    <i r="1">
      <x v="19"/>
      <x v="1"/>
    </i>
    <i r="1">
      <x v="20"/>
      <x v="1"/>
    </i>
    <i r="1">
      <x v="23"/>
      <x v="1"/>
    </i>
    <i r="1">
      <x v="28"/>
      <x v="1"/>
    </i>
    <i>
      <x v="11"/>
      <x/>
      <x/>
    </i>
    <i r="1">
      <x v="8"/>
      <x/>
    </i>
    <i r="1">
      <x v="11"/>
      <x/>
    </i>
    <i r="1">
      <x v="13"/>
      <x/>
    </i>
    <i r="1">
      <x v="17"/>
      <x/>
    </i>
    <i r="1">
      <x v="21"/>
      <x/>
    </i>
    <i r="1">
      <x v="22"/>
      <x/>
    </i>
    <i r="1">
      <x v="26"/>
      <x/>
    </i>
    <i r="1">
      <x v="29"/>
      <x/>
    </i>
    <i>
      <x v="12"/>
      <x v="7"/>
      <x/>
    </i>
    <i r="1">
      <x v="8"/>
      <x/>
    </i>
    <i r="1">
      <x v="9"/>
      <x/>
    </i>
    <i r="1">
      <x v="13"/>
      <x/>
    </i>
    <i r="1">
      <x v="14"/>
      <x/>
    </i>
    <i r="1">
      <x v="19"/>
      <x/>
    </i>
    <i r="1">
      <x v="20"/>
      <x/>
    </i>
    <i r="1">
      <x v="23"/>
      <x/>
    </i>
    <i r="1">
      <x v="25"/>
      <x/>
    </i>
    <i r="1">
      <x v="26"/>
      <x/>
    </i>
    <i r="1">
      <x v="27"/>
      <x/>
    </i>
    <i>
      <x v="13"/>
      <x/>
      <x/>
    </i>
    <i r="1">
      <x v="1"/>
      <x/>
    </i>
    <i r="1">
      <x v="2"/>
      <x/>
    </i>
    <i r="1">
      <x v="3"/>
      <x/>
    </i>
    <i r="1">
      <x v="4"/>
      <x/>
    </i>
    <i r="1">
      <x v="6"/>
      <x/>
    </i>
    <i r="1">
      <x v="7"/>
      <x/>
    </i>
    <i r="1">
      <x v="17"/>
      <x/>
    </i>
    <i r="1">
      <x v="18"/>
      <x/>
    </i>
    <i r="1">
      <x v="19"/>
      <x/>
    </i>
    <i r="1">
      <x v="24"/>
      <x/>
    </i>
    <i>
      <x v="14"/>
      <x/>
      <x v="1"/>
    </i>
    <i r="1">
      <x v="6"/>
      <x v="1"/>
    </i>
    <i r="1">
      <x v="9"/>
      <x v="1"/>
    </i>
    <i r="1">
      <x v="12"/>
      <x v="1"/>
    </i>
    <i r="1">
      <x v="13"/>
      <x v="1"/>
    </i>
    <i r="1">
      <x v="18"/>
      <x v="1"/>
    </i>
    <i r="1">
      <x v="23"/>
      <x v="1"/>
    </i>
    <i r="1">
      <x v="25"/>
      <x v="1"/>
    </i>
    <i r="1">
      <x v="26"/>
      <x v="1"/>
    </i>
    <i r="1">
      <x v="28"/>
      <x v="1"/>
    </i>
    <i>
      <x v="15"/>
      <x v="1"/>
      <x v="3"/>
    </i>
    <i r="1">
      <x v="2"/>
      <x v="3"/>
    </i>
    <i r="1">
      <x v="3"/>
      <x v="3"/>
    </i>
    <i r="1">
      <x v="4"/>
      <x v="3"/>
    </i>
    <i r="1">
      <x v="10"/>
      <x v="3"/>
    </i>
    <i r="1">
      <x v="14"/>
      <x v="3"/>
    </i>
    <i r="1">
      <x v="17"/>
      <x v="3"/>
    </i>
    <i r="1">
      <x v="19"/>
      <x v="3"/>
    </i>
    <i r="1">
      <x v="22"/>
      <x v="3"/>
    </i>
    <i r="1">
      <x v="23"/>
      <x v="3"/>
    </i>
    <i r="1">
      <x v="24"/>
      <x v="3"/>
    </i>
    <i r="1">
      <x v="26"/>
      <x v="3"/>
    </i>
    <i r="1">
      <x v="27"/>
      <x v="3"/>
    </i>
    <i r="1">
      <x v="28"/>
      <x v="3"/>
    </i>
    <i r="1">
      <x v="29"/>
      <x v="3"/>
    </i>
    <i>
      <x v="16"/>
      <x/>
      <x v="1"/>
    </i>
    <i r="1">
      <x v="1"/>
      <x v="1"/>
    </i>
    <i r="1">
      <x v="2"/>
      <x v="1"/>
    </i>
    <i r="1">
      <x v="10"/>
      <x v="1"/>
    </i>
    <i r="1">
      <x v="11"/>
      <x v="1"/>
    </i>
    <i r="1">
      <x v="16"/>
      <x v="1"/>
    </i>
    <i r="1">
      <x v="17"/>
      <x v="1"/>
    </i>
    <i r="1">
      <x v="18"/>
      <x v="1"/>
    </i>
    <i r="1">
      <x v="27"/>
      <x v="1"/>
    </i>
    <i r="1">
      <x v="29"/>
      <x v="1"/>
    </i>
    <i>
      <x v="17"/>
      <x v="5"/>
      <x v="3"/>
    </i>
    <i r="1">
      <x v="10"/>
      <x v="3"/>
    </i>
    <i r="1">
      <x v="11"/>
      <x v="3"/>
    </i>
    <i r="1">
      <x v="13"/>
      <x v="3"/>
    </i>
    <i r="1">
      <x v="14"/>
      <x v="3"/>
    </i>
    <i r="1">
      <x v="15"/>
      <x v="3"/>
    </i>
    <i r="1">
      <x v="17"/>
      <x v="3"/>
    </i>
    <i r="1">
      <x v="19"/>
      <x v="3"/>
    </i>
    <i r="1">
      <x v="24"/>
      <x v="3"/>
    </i>
    <i>
      <x v="18"/>
      <x v="1"/>
      <x v="1"/>
    </i>
    <i r="1">
      <x v="5"/>
      <x v="1"/>
    </i>
    <i r="1">
      <x v="8"/>
      <x v="1"/>
    </i>
    <i r="1">
      <x v="9"/>
      <x v="1"/>
    </i>
    <i r="1">
      <x v="14"/>
      <x v="1"/>
    </i>
    <i r="1">
      <x v="15"/>
      <x v="1"/>
    </i>
    <i r="1">
      <x v="18"/>
      <x v="1"/>
    </i>
    <i r="1">
      <x v="19"/>
      <x v="1"/>
    </i>
    <i r="1">
      <x v="21"/>
      <x v="1"/>
    </i>
    <i r="1">
      <x v="23"/>
      <x v="1"/>
    </i>
    <i r="1">
      <x v="24"/>
      <x v="1"/>
    </i>
    <i r="1">
      <x v="25"/>
      <x v="1"/>
    </i>
    <i>
      <x v="19"/>
      <x v="1"/>
      <x/>
    </i>
    <i r="1">
      <x v="2"/>
      <x/>
    </i>
    <i r="1">
      <x v="3"/>
      <x/>
    </i>
    <i r="1">
      <x v="9"/>
      <x/>
    </i>
    <i r="1">
      <x v="20"/>
      <x/>
    </i>
    <i r="1">
      <x v="22"/>
      <x/>
    </i>
    <i r="1">
      <x v="23"/>
      <x/>
    </i>
    <i r="1">
      <x v="28"/>
      <x/>
    </i>
    <i>
      <x v="20"/>
      <x/>
      <x/>
    </i>
    <i r="1">
      <x v="4"/>
      <x/>
    </i>
    <i r="1">
      <x v="8"/>
      <x/>
    </i>
    <i r="1">
      <x v="13"/>
      <x/>
    </i>
    <i r="1">
      <x v="14"/>
      <x/>
    </i>
    <i r="1">
      <x v="15"/>
      <x/>
    </i>
    <i r="1">
      <x v="17"/>
      <x/>
    </i>
    <i r="1">
      <x v="18"/>
      <x/>
    </i>
    <i r="1">
      <x v="19"/>
      <x/>
    </i>
    <i r="1">
      <x v="20"/>
      <x/>
    </i>
    <i r="1">
      <x v="24"/>
      <x/>
    </i>
    <i r="1">
      <x v="25"/>
      <x/>
    </i>
    <i r="1">
      <x v="26"/>
      <x/>
    </i>
    <i>
      <x v="21"/>
      <x/>
      <x v="2"/>
    </i>
    <i r="1">
      <x v="4"/>
      <x v="2"/>
    </i>
    <i r="1">
      <x v="6"/>
      <x v="2"/>
    </i>
    <i r="1">
      <x v="9"/>
      <x v="2"/>
    </i>
    <i r="1">
      <x v="10"/>
      <x v="2"/>
    </i>
    <i r="1">
      <x v="11"/>
      <x v="2"/>
    </i>
    <i r="1">
      <x v="12"/>
      <x v="2"/>
    </i>
    <i r="1">
      <x v="13"/>
      <x v="2"/>
    </i>
    <i r="1">
      <x v="16"/>
      <x v="2"/>
    </i>
    <i r="1">
      <x v="22"/>
      <x v="2"/>
    </i>
    <i r="1">
      <x v="28"/>
      <x v="2"/>
    </i>
    <i>
      <x v="22"/>
      <x v="7"/>
      <x v="1"/>
    </i>
    <i r="1">
      <x v="8"/>
      <x v="1"/>
    </i>
    <i r="1">
      <x v="11"/>
      <x v="1"/>
    </i>
    <i r="1">
      <x v="16"/>
      <x v="1"/>
    </i>
    <i r="1">
      <x v="17"/>
      <x v="1"/>
    </i>
    <i r="1">
      <x v="21"/>
      <x v="1"/>
    </i>
    <i r="1">
      <x v="22"/>
      <x v="1"/>
    </i>
    <i r="1">
      <x v="25"/>
      <x v="1"/>
    </i>
    <i>
      <x v="23"/>
      <x v="2"/>
      <x v="1"/>
    </i>
    <i r="1">
      <x v="3"/>
      <x v="1"/>
    </i>
    <i r="1">
      <x v="6"/>
      <x v="1"/>
    </i>
    <i r="1">
      <x v="10"/>
      <x v="1"/>
    </i>
    <i r="1">
      <x v="11"/>
      <x v="1"/>
    </i>
    <i r="1">
      <x v="13"/>
      <x v="1"/>
    </i>
    <i r="1">
      <x v="19"/>
      <x v="1"/>
    </i>
    <i r="1">
      <x v="20"/>
      <x v="1"/>
    </i>
    <i r="1">
      <x v="21"/>
      <x v="1"/>
    </i>
    <i r="1">
      <x v="23"/>
      <x v="1"/>
    </i>
    <i r="1">
      <x v="25"/>
      <x v="1"/>
    </i>
    <i>
      <x v="24"/>
      <x v="1"/>
      <x v="2"/>
    </i>
    <i r="1">
      <x v="4"/>
      <x v="2"/>
    </i>
    <i r="1">
      <x v="5"/>
      <x v="2"/>
    </i>
    <i r="1">
      <x v="10"/>
      <x v="2"/>
    </i>
    <i r="1">
      <x v="12"/>
      <x v="2"/>
    </i>
    <i r="1">
      <x v="14"/>
      <x v="2"/>
    </i>
    <i r="1">
      <x v="15"/>
      <x v="2"/>
    </i>
    <i r="1">
      <x v="18"/>
      <x v="2"/>
    </i>
    <i r="1">
      <x v="23"/>
      <x v="2"/>
    </i>
    <i r="1">
      <x v="27"/>
      <x v="2"/>
    </i>
    <i r="1">
      <x v="28"/>
      <x v="2"/>
    </i>
    <i>
      <x v="25"/>
      <x v="1"/>
      <x/>
    </i>
    <i r="1">
      <x v="2"/>
      <x/>
    </i>
    <i r="1">
      <x v="5"/>
      <x/>
    </i>
    <i r="1">
      <x v="9"/>
      <x/>
    </i>
    <i r="1">
      <x v="11"/>
      <x/>
    </i>
    <i r="1">
      <x v="13"/>
      <x/>
    </i>
    <i r="1">
      <x v="21"/>
      <x/>
    </i>
    <i r="1">
      <x v="22"/>
      <x/>
    </i>
    <i r="1">
      <x v="27"/>
      <x/>
    </i>
    <i r="1">
      <x v="28"/>
      <x/>
    </i>
    <i r="1">
      <x v="29"/>
      <x/>
    </i>
    <i>
      <x v="26"/>
      <x/>
      <x v="1"/>
    </i>
    <i r="1">
      <x v="3"/>
      <x v="1"/>
    </i>
    <i r="1">
      <x v="9"/>
      <x v="1"/>
    </i>
    <i r="1">
      <x v="11"/>
      <x v="1"/>
    </i>
    <i r="1">
      <x v="13"/>
      <x v="1"/>
    </i>
    <i r="1">
      <x v="14"/>
      <x v="1"/>
    </i>
    <i r="1">
      <x v="16"/>
      <x v="1"/>
    </i>
    <i r="1">
      <x v="18"/>
      <x v="1"/>
    </i>
    <i r="1">
      <x v="19"/>
      <x v="1"/>
    </i>
    <i r="1">
      <x v="20"/>
      <x v="1"/>
    </i>
    <i r="1">
      <x v="21"/>
      <x v="1"/>
    </i>
    <i r="1">
      <x v="22"/>
      <x v="1"/>
    </i>
    <i r="1">
      <x v="23"/>
      <x v="1"/>
    </i>
    <i>
      <x v="27"/>
      <x v="7"/>
      <x v="2"/>
    </i>
    <i r="1">
      <x v="8"/>
      <x v="2"/>
    </i>
    <i r="1">
      <x v="9"/>
      <x v="2"/>
    </i>
    <i r="1">
      <x v="10"/>
      <x v="2"/>
    </i>
    <i r="1">
      <x v="13"/>
      <x v="2"/>
    </i>
    <i r="1">
      <x v="14"/>
      <x v="2"/>
    </i>
    <i r="1">
      <x v="15"/>
      <x v="2"/>
    </i>
    <i r="1">
      <x v="20"/>
      <x v="2"/>
    </i>
    <i r="1">
      <x v="21"/>
      <x v="2"/>
    </i>
    <i r="1">
      <x v="29"/>
      <x v="2"/>
    </i>
    <i>
      <x v="28"/>
      <x v="3"/>
      <x v="1"/>
    </i>
    <i r="1">
      <x v="4"/>
      <x v="1"/>
    </i>
    <i r="1">
      <x v="7"/>
      <x v="1"/>
    </i>
    <i r="1">
      <x v="8"/>
      <x v="1"/>
    </i>
    <i r="1">
      <x v="11"/>
      <x v="1"/>
    </i>
    <i r="1">
      <x v="13"/>
      <x v="1"/>
    </i>
    <i r="1">
      <x v="14"/>
      <x v="1"/>
    </i>
    <i r="1">
      <x v="16"/>
      <x v="1"/>
    </i>
    <i r="1">
      <x v="18"/>
      <x v="1"/>
    </i>
    <i r="1">
      <x v="19"/>
      <x v="1"/>
    </i>
    <i r="1">
      <x v="24"/>
      <x v="1"/>
    </i>
    <i r="1">
      <x v="26"/>
      <x v="1"/>
    </i>
    <i r="1">
      <x v="27"/>
      <x v="1"/>
    </i>
    <i>
      <x v="29"/>
      <x v="2"/>
      <x v="3"/>
    </i>
    <i r="1">
      <x v="7"/>
      <x v="3"/>
    </i>
    <i r="1">
      <x v="8"/>
      <x v="3"/>
    </i>
    <i r="1">
      <x v="11"/>
      <x v="3"/>
    </i>
    <i r="1">
      <x v="12"/>
      <x v="3"/>
    </i>
    <i r="1">
      <x v="13"/>
      <x v="3"/>
    </i>
    <i r="1">
      <x v="14"/>
      <x v="3"/>
    </i>
    <i r="1">
      <x v="16"/>
      <x v="3"/>
    </i>
    <i r="1">
      <x v="17"/>
      <x v="3"/>
    </i>
    <i r="1">
      <x v="25"/>
      <x v="3"/>
    </i>
    <i r="1">
      <x v="27"/>
      <x v="3"/>
    </i>
    <i r="1">
      <x v="28"/>
      <x v="3"/>
    </i>
    <i r="1">
      <x v="29"/>
      <x v="3"/>
    </i>
    <i>
      <x v="30"/>
      <x v="4"/>
      <x/>
    </i>
    <i r="1">
      <x v="6"/>
      <x/>
    </i>
    <i r="1">
      <x v="8"/>
      <x/>
    </i>
    <i r="1">
      <x v="9"/>
      <x/>
    </i>
    <i r="1">
      <x v="11"/>
      <x/>
    </i>
    <i r="1">
      <x v="12"/>
      <x/>
    </i>
    <i r="1">
      <x v="13"/>
      <x/>
    </i>
    <i r="1">
      <x v="14"/>
      <x/>
    </i>
    <i r="1">
      <x v="15"/>
      <x/>
    </i>
    <i r="1">
      <x v="17"/>
      <x/>
    </i>
    <i r="1">
      <x v="20"/>
      <x/>
    </i>
    <i r="1">
      <x v="21"/>
      <x/>
    </i>
    <i r="1">
      <x v="27"/>
      <x/>
    </i>
    <i r="1">
      <x v="28"/>
      <x/>
    </i>
    <i>
      <x v="31"/>
      <x v="2"/>
      <x v="3"/>
    </i>
    <i r="1">
      <x v="3"/>
      <x v="3"/>
    </i>
    <i r="1">
      <x v="5"/>
      <x v="3"/>
    </i>
    <i r="1">
      <x v="8"/>
      <x v="3"/>
    </i>
    <i r="1">
      <x v="12"/>
      <x v="3"/>
    </i>
    <i r="1">
      <x v="14"/>
      <x v="3"/>
    </i>
    <i r="1">
      <x v="17"/>
      <x v="3"/>
    </i>
    <i r="1">
      <x v="20"/>
      <x v="3"/>
    </i>
    <i r="1">
      <x v="23"/>
      <x v="3"/>
    </i>
    <i r="1">
      <x v="24"/>
      <x v="3"/>
    </i>
    <i r="1">
      <x v="26"/>
      <x v="3"/>
    </i>
    <i r="1">
      <x v="27"/>
      <x v="3"/>
    </i>
    <i>
      <x v="32"/>
      <x v="2"/>
      <x/>
    </i>
    <i r="1">
      <x v="3"/>
      <x/>
    </i>
    <i r="1">
      <x v="11"/>
      <x/>
    </i>
    <i r="1">
      <x v="14"/>
      <x/>
    </i>
    <i r="1">
      <x v="19"/>
      <x/>
    </i>
    <i r="1">
      <x v="20"/>
      <x/>
    </i>
    <i r="1">
      <x v="21"/>
      <x/>
    </i>
    <i r="1">
      <x v="22"/>
      <x/>
    </i>
    <i r="1">
      <x v="23"/>
      <x/>
    </i>
    <i r="1">
      <x v="24"/>
      <x/>
    </i>
    <i>
      <x v="33"/>
      <x v="1"/>
      <x v="2"/>
    </i>
    <i r="1">
      <x v="4"/>
      <x v="2"/>
    </i>
    <i r="1">
      <x v="8"/>
      <x v="2"/>
    </i>
    <i r="1">
      <x v="9"/>
      <x v="2"/>
    </i>
    <i r="1">
      <x v="11"/>
      <x v="2"/>
    </i>
    <i r="1">
      <x v="16"/>
      <x v="2"/>
    </i>
    <i r="1">
      <x v="17"/>
      <x v="2"/>
    </i>
    <i r="1">
      <x v="18"/>
      <x v="2"/>
    </i>
    <i r="1">
      <x v="20"/>
      <x v="2"/>
    </i>
    <i r="1">
      <x v="21"/>
      <x v="2"/>
    </i>
    <i r="1">
      <x v="22"/>
      <x v="2"/>
    </i>
    <i r="1">
      <x v="23"/>
      <x v="2"/>
    </i>
    <i>
      <x v="34"/>
      <x/>
      <x/>
    </i>
    <i r="1">
      <x v="1"/>
      <x/>
    </i>
    <i r="1">
      <x v="10"/>
      <x/>
    </i>
    <i r="1">
      <x v="11"/>
      <x/>
    </i>
    <i r="1">
      <x v="12"/>
      <x/>
    </i>
    <i r="1">
      <x v="20"/>
      <x/>
    </i>
    <i r="1">
      <x v="21"/>
      <x/>
    </i>
    <i r="1">
      <x v="23"/>
      <x/>
    </i>
    <i r="1">
      <x v="25"/>
      <x/>
    </i>
    <i r="1">
      <x v="27"/>
      <x/>
    </i>
    <i r="1">
      <x v="29"/>
      <x/>
    </i>
    <i>
      <x v="35"/>
      <x/>
      <x/>
    </i>
    <i r="1">
      <x v="1"/>
      <x/>
    </i>
    <i r="1">
      <x v="2"/>
      <x/>
    </i>
    <i r="1">
      <x v="3"/>
      <x/>
    </i>
    <i r="1">
      <x v="15"/>
      <x/>
    </i>
    <i r="1">
      <x v="16"/>
      <x/>
    </i>
    <i r="1">
      <x v="18"/>
      <x/>
    </i>
    <i r="1">
      <x v="19"/>
      <x/>
    </i>
    <i r="1">
      <x v="23"/>
      <x/>
    </i>
    <i r="1">
      <x v="25"/>
      <x/>
    </i>
    <i r="1">
      <x v="27"/>
      <x/>
    </i>
    <i r="1">
      <x v="28"/>
      <x/>
    </i>
    <i>
      <x v="36"/>
      <x/>
      <x v="2"/>
    </i>
    <i r="1">
      <x v="1"/>
      <x v="2"/>
    </i>
    <i r="1">
      <x v="2"/>
      <x v="2"/>
    </i>
    <i r="1">
      <x v="3"/>
      <x v="2"/>
    </i>
    <i r="1">
      <x v="4"/>
      <x v="2"/>
    </i>
    <i r="1">
      <x v="5"/>
      <x v="2"/>
    </i>
    <i r="1">
      <x v="11"/>
      <x v="2"/>
    </i>
    <i r="1">
      <x v="15"/>
      <x v="2"/>
    </i>
    <i r="1">
      <x v="16"/>
      <x v="2"/>
    </i>
    <i r="1">
      <x v="19"/>
      <x v="2"/>
    </i>
    <i r="1">
      <x v="20"/>
      <x v="2"/>
    </i>
    <i r="1">
      <x v="22"/>
      <x v="2"/>
    </i>
    <i r="1">
      <x v="26"/>
      <x v="2"/>
    </i>
    <i r="1">
      <x v="27"/>
      <x v="2"/>
    </i>
    <i r="1">
      <x v="28"/>
      <x v="2"/>
    </i>
    <i r="1">
      <x v="29"/>
      <x v="2"/>
    </i>
    <i>
      <x v="37"/>
      <x v="4"/>
      <x/>
    </i>
    <i r="1">
      <x v="5"/>
      <x/>
    </i>
    <i r="1">
      <x v="8"/>
      <x/>
    </i>
    <i r="1">
      <x v="9"/>
      <x/>
    </i>
    <i r="1">
      <x v="14"/>
      <x/>
    </i>
    <i r="1">
      <x v="21"/>
      <x/>
    </i>
    <i r="1">
      <x v="22"/>
      <x/>
    </i>
    <i r="1">
      <x v="27"/>
      <x/>
    </i>
    <i>
      <x v="38"/>
      <x v="1"/>
      <x v="1"/>
    </i>
    <i r="1">
      <x v="4"/>
      <x v="1"/>
    </i>
    <i r="1">
      <x v="8"/>
      <x v="1"/>
    </i>
    <i r="1">
      <x v="9"/>
      <x v="1"/>
    </i>
    <i r="1">
      <x v="15"/>
      <x v="1"/>
    </i>
    <i r="1">
      <x v="16"/>
      <x v="1"/>
    </i>
    <i r="1">
      <x v="17"/>
      <x v="1"/>
    </i>
    <i r="1">
      <x v="21"/>
      <x v="1"/>
    </i>
    <i r="1">
      <x v="22"/>
      <x v="1"/>
    </i>
    <i r="1">
      <x v="28"/>
      <x v="1"/>
    </i>
    <i>
      <x v="39"/>
      <x/>
      <x v="2"/>
    </i>
    <i r="1">
      <x v="2"/>
      <x v="2"/>
    </i>
    <i r="1">
      <x v="7"/>
      <x v="2"/>
    </i>
    <i r="1">
      <x v="10"/>
      <x v="2"/>
    </i>
    <i r="1">
      <x v="11"/>
      <x v="2"/>
    </i>
    <i r="1">
      <x v="12"/>
      <x v="2"/>
    </i>
    <i r="1">
      <x v="13"/>
      <x v="2"/>
    </i>
    <i r="1">
      <x v="14"/>
      <x v="2"/>
    </i>
    <i r="1">
      <x v="17"/>
      <x v="2"/>
    </i>
    <i r="1">
      <x v="18"/>
      <x v="2"/>
    </i>
    <i r="1">
      <x v="22"/>
      <x v="2"/>
    </i>
    <i r="1">
      <x v="28"/>
      <x v="2"/>
    </i>
    <i r="1">
      <x v="29"/>
      <x v="2"/>
    </i>
    <i t="grand">
      <x/>
    </i>
  </rowItems>
  <colItems count="1">
    <i/>
  </colItems>
  <dataFields count="1">
    <dataField name="Total Amount" fld="8" baseField="0" baseItem="0"/>
  </dataFields>
  <formats count="448">
    <format dxfId="2691">
      <pivotArea outline="0" collapsedLevelsAreSubtotals="1" fieldPosition="0"/>
    </format>
    <format dxfId="2690">
      <pivotArea dataOnly="0" labelOnly="1" outline="0" axis="axisValues" fieldPosition="0"/>
    </format>
    <format dxfId="2689">
      <pivotArea field="4" type="button" dataOnly="0" labelOnly="1" outline="0" axis="axisRow" fieldPosition="2"/>
    </format>
    <format dxfId="2688">
      <pivotArea dataOnly="0" labelOnly="1" grandRow="1" outline="0" fieldPosition="0"/>
    </format>
    <format dxfId="2687">
      <pivotArea dataOnly="0" labelOnly="1" outline="0" fieldPosition="0">
        <references count="3">
          <reference field="3" count="1" selected="0">
            <x v="0"/>
          </reference>
          <reference field="4" count="1">
            <x v="2"/>
          </reference>
          <reference field="7" count="1" selected="0">
            <x v="4"/>
          </reference>
        </references>
      </pivotArea>
    </format>
    <format dxfId="2686">
      <pivotArea dataOnly="0" labelOnly="1" outline="0" fieldPosition="0">
        <references count="3">
          <reference field="3" count="1" selected="0">
            <x v="0"/>
          </reference>
          <reference field="4" count="1">
            <x v="2"/>
          </reference>
          <reference field="7" count="1" selected="0">
            <x v="5"/>
          </reference>
        </references>
      </pivotArea>
    </format>
    <format dxfId="2685">
      <pivotArea dataOnly="0" labelOnly="1" outline="0" fieldPosition="0">
        <references count="3">
          <reference field="3" count="1" selected="0">
            <x v="0"/>
          </reference>
          <reference field="4" count="1">
            <x v="2"/>
          </reference>
          <reference field="7" count="1" selected="0">
            <x v="8"/>
          </reference>
        </references>
      </pivotArea>
    </format>
    <format dxfId="2684">
      <pivotArea dataOnly="0" labelOnly="1" outline="0" fieldPosition="0">
        <references count="3">
          <reference field="3" count="1" selected="0">
            <x v="0"/>
          </reference>
          <reference field="4" count="1">
            <x v="2"/>
          </reference>
          <reference field="7" count="1" selected="0">
            <x v="10"/>
          </reference>
        </references>
      </pivotArea>
    </format>
    <format dxfId="2683">
      <pivotArea dataOnly="0" labelOnly="1" outline="0" fieldPosition="0">
        <references count="3">
          <reference field="3" count="1" selected="0">
            <x v="0"/>
          </reference>
          <reference field="4" count="1">
            <x v="2"/>
          </reference>
          <reference field="7" count="1" selected="0">
            <x v="11"/>
          </reference>
        </references>
      </pivotArea>
    </format>
    <format dxfId="2682">
      <pivotArea dataOnly="0" labelOnly="1" outline="0" fieldPosition="0">
        <references count="3">
          <reference field="3" count="1" selected="0">
            <x v="0"/>
          </reference>
          <reference field="4" count="1">
            <x v="2"/>
          </reference>
          <reference field="7" count="1" selected="0">
            <x v="16"/>
          </reference>
        </references>
      </pivotArea>
    </format>
    <format dxfId="2681">
      <pivotArea dataOnly="0" labelOnly="1" outline="0" fieldPosition="0">
        <references count="3">
          <reference field="3" count="1" selected="0">
            <x v="0"/>
          </reference>
          <reference field="4" count="1">
            <x v="2"/>
          </reference>
          <reference field="7" count="1" selected="0">
            <x v="22"/>
          </reference>
        </references>
      </pivotArea>
    </format>
    <format dxfId="2680">
      <pivotArea dataOnly="0" labelOnly="1" outline="0" fieldPosition="0">
        <references count="3">
          <reference field="3" count="1" selected="0">
            <x v="1"/>
          </reference>
          <reference field="4" count="1">
            <x v="3"/>
          </reference>
          <reference field="7" count="1" selected="0">
            <x v="6"/>
          </reference>
        </references>
      </pivotArea>
    </format>
    <format dxfId="2679">
      <pivotArea dataOnly="0" labelOnly="1" outline="0" fieldPosition="0">
        <references count="3">
          <reference field="3" count="1" selected="0">
            <x v="1"/>
          </reference>
          <reference field="4" count="1">
            <x v="3"/>
          </reference>
          <reference field="7" count="1" selected="0">
            <x v="7"/>
          </reference>
        </references>
      </pivotArea>
    </format>
    <format dxfId="2678">
      <pivotArea dataOnly="0" labelOnly="1" outline="0" fieldPosition="0">
        <references count="3">
          <reference field="3" count="1" selected="0">
            <x v="1"/>
          </reference>
          <reference field="4" count="1">
            <x v="3"/>
          </reference>
          <reference field="7" count="1" selected="0">
            <x v="11"/>
          </reference>
        </references>
      </pivotArea>
    </format>
    <format dxfId="2677">
      <pivotArea dataOnly="0" labelOnly="1" outline="0" fieldPosition="0">
        <references count="3">
          <reference field="3" count="1" selected="0">
            <x v="1"/>
          </reference>
          <reference field="4" count="1">
            <x v="3"/>
          </reference>
          <reference field="7" count="1" selected="0">
            <x v="12"/>
          </reference>
        </references>
      </pivotArea>
    </format>
    <format dxfId="2676">
      <pivotArea dataOnly="0" labelOnly="1" outline="0" fieldPosition="0">
        <references count="3">
          <reference field="3" count="1" selected="0">
            <x v="1"/>
          </reference>
          <reference field="4" count="1">
            <x v="3"/>
          </reference>
          <reference field="7" count="1" selected="0">
            <x v="14"/>
          </reference>
        </references>
      </pivotArea>
    </format>
    <format dxfId="2675">
      <pivotArea dataOnly="0" labelOnly="1" outline="0" fieldPosition="0">
        <references count="3">
          <reference field="3" count="1" selected="0">
            <x v="1"/>
          </reference>
          <reference field="4" count="1">
            <x v="3"/>
          </reference>
          <reference field="7" count="1" selected="0">
            <x v="18"/>
          </reference>
        </references>
      </pivotArea>
    </format>
    <format dxfId="2674">
      <pivotArea dataOnly="0" labelOnly="1" outline="0" fieldPosition="0">
        <references count="3">
          <reference field="3" count="1" selected="0">
            <x v="1"/>
          </reference>
          <reference field="4" count="1">
            <x v="3"/>
          </reference>
          <reference field="7" count="1" selected="0">
            <x v="21"/>
          </reference>
        </references>
      </pivotArea>
    </format>
    <format dxfId="2673">
      <pivotArea dataOnly="0" labelOnly="1" outline="0" fieldPosition="0">
        <references count="3">
          <reference field="3" count="1" selected="0">
            <x v="1"/>
          </reference>
          <reference field="4" count="1">
            <x v="3"/>
          </reference>
          <reference field="7" count="1" selected="0">
            <x v="25"/>
          </reference>
        </references>
      </pivotArea>
    </format>
    <format dxfId="2672">
      <pivotArea dataOnly="0" labelOnly="1" outline="0" fieldPosition="0">
        <references count="3">
          <reference field="3" count="1" selected="0">
            <x v="1"/>
          </reference>
          <reference field="4" count="1">
            <x v="3"/>
          </reference>
          <reference field="7" count="1" selected="0">
            <x v="29"/>
          </reference>
        </references>
      </pivotArea>
    </format>
    <format dxfId="2671">
      <pivotArea dataOnly="0" labelOnly="1" outline="0" fieldPosition="0">
        <references count="3">
          <reference field="3" count="1" selected="0">
            <x v="2"/>
          </reference>
          <reference field="4" count="1">
            <x v="0"/>
          </reference>
          <reference field="7" count="1" selected="0">
            <x v="2"/>
          </reference>
        </references>
      </pivotArea>
    </format>
    <format dxfId="2670">
      <pivotArea dataOnly="0" labelOnly="1" outline="0" fieldPosition="0">
        <references count="3">
          <reference field="3" count="1" selected="0">
            <x v="2"/>
          </reference>
          <reference field="4" count="1">
            <x v="0"/>
          </reference>
          <reference field="7" count="1" selected="0">
            <x v="4"/>
          </reference>
        </references>
      </pivotArea>
    </format>
    <format dxfId="2669">
      <pivotArea dataOnly="0" labelOnly="1" outline="0" fieldPosition="0">
        <references count="3">
          <reference field="3" count="1" selected="0">
            <x v="2"/>
          </reference>
          <reference field="4" count="1">
            <x v="0"/>
          </reference>
          <reference field="7" count="1" selected="0">
            <x v="5"/>
          </reference>
        </references>
      </pivotArea>
    </format>
    <format dxfId="2668">
      <pivotArea dataOnly="0" labelOnly="1" outline="0" fieldPosition="0">
        <references count="3">
          <reference field="3" count="1" selected="0">
            <x v="2"/>
          </reference>
          <reference field="4" count="1">
            <x v="0"/>
          </reference>
          <reference field="7" count="1" selected="0">
            <x v="6"/>
          </reference>
        </references>
      </pivotArea>
    </format>
    <format dxfId="2667">
      <pivotArea dataOnly="0" labelOnly="1" outline="0" fieldPosition="0">
        <references count="3">
          <reference field="3" count="1" selected="0">
            <x v="2"/>
          </reference>
          <reference field="4" count="1">
            <x v="0"/>
          </reference>
          <reference field="7" count="1" selected="0">
            <x v="7"/>
          </reference>
        </references>
      </pivotArea>
    </format>
    <format dxfId="2666">
      <pivotArea dataOnly="0" labelOnly="1" outline="0" fieldPosition="0">
        <references count="3">
          <reference field="3" count="1" selected="0">
            <x v="2"/>
          </reference>
          <reference field="4" count="1">
            <x v="0"/>
          </reference>
          <reference field="7" count="1" selected="0">
            <x v="12"/>
          </reference>
        </references>
      </pivotArea>
    </format>
    <format dxfId="2665">
      <pivotArea dataOnly="0" labelOnly="1" outline="0" fieldPosition="0">
        <references count="3">
          <reference field="3" count="1" selected="0">
            <x v="2"/>
          </reference>
          <reference field="4" count="1">
            <x v="0"/>
          </reference>
          <reference field="7" count="1" selected="0">
            <x v="15"/>
          </reference>
        </references>
      </pivotArea>
    </format>
    <format dxfId="2664">
      <pivotArea dataOnly="0" labelOnly="1" outline="0" fieldPosition="0">
        <references count="3">
          <reference field="3" count="1" selected="0">
            <x v="2"/>
          </reference>
          <reference field="4" count="1">
            <x v="0"/>
          </reference>
          <reference field="7" count="1" selected="0">
            <x v="19"/>
          </reference>
        </references>
      </pivotArea>
    </format>
    <format dxfId="2663">
      <pivotArea dataOnly="0" labelOnly="1" outline="0" fieldPosition="0">
        <references count="3">
          <reference field="3" count="1" selected="0">
            <x v="2"/>
          </reference>
          <reference field="4" count="1">
            <x v="0"/>
          </reference>
          <reference field="7" count="1" selected="0">
            <x v="21"/>
          </reference>
        </references>
      </pivotArea>
    </format>
    <format dxfId="2662">
      <pivotArea dataOnly="0" labelOnly="1" outline="0" fieldPosition="0">
        <references count="3">
          <reference field="3" count="1" selected="0">
            <x v="2"/>
          </reference>
          <reference field="4" count="1">
            <x v="0"/>
          </reference>
          <reference field="7" count="1" selected="0">
            <x v="22"/>
          </reference>
        </references>
      </pivotArea>
    </format>
    <format dxfId="2661">
      <pivotArea dataOnly="0" labelOnly="1" outline="0" fieldPosition="0">
        <references count="3">
          <reference field="3" count="1" selected="0">
            <x v="2"/>
          </reference>
          <reference field="4" count="1">
            <x v="0"/>
          </reference>
          <reference field="7" count="1" selected="0">
            <x v="25"/>
          </reference>
        </references>
      </pivotArea>
    </format>
    <format dxfId="2660">
      <pivotArea dataOnly="0" labelOnly="1" outline="0" fieldPosition="0">
        <references count="3">
          <reference field="3" count="1" selected="0">
            <x v="2"/>
          </reference>
          <reference field="4" count="1">
            <x v="0"/>
          </reference>
          <reference field="7" count="1" selected="0">
            <x v="28"/>
          </reference>
        </references>
      </pivotArea>
    </format>
    <format dxfId="2659">
      <pivotArea dataOnly="0" labelOnly="1" outline="0" fieldPosition="0">
        <references count="3">
          <reference field="3" count="1" selected="0">
            <x v="2"/>
          </reference>
          <reference field="4" count="1">
            <x v="0"/>
          </reference>
          <reference field="7" count="1" selected="0">
            <x v="29"/>
          </reference>
        </references>
      </pivotArea>
    </format>
    <format dxfId="2658">
      <pivotArea dataOnly="0" labelOnly="1" outline="0" fieldPosition="0">
        <references count="3">
          <reference field="3" count="1" selected="0">
            <x v="3"/>
          </reference>
          <reference field="4" count="1">
            <x v="0"/>
          </reference>
          <reference field="7" count="1" selected="0">
            <x v="1"/>
          </reference>
        </references>
      </pivotArea>
    </format>
    <format dxfId="2657">
      <pivotArea dataOnly="0" labelOnly="1" outline="0" fieldPosition="0">
        <references count="3">
          <reference field="3" count="1" selected="0">
            <x v="3"/>
          </reference>
          <reference field="4" count="1">
            <x v="0"/>
          </reference>
          <reference field="7" count="1" selected="0">
            <x v="11"/>
          </reference>
        </references>
      </pivotArea>
    </format>
    <format dxfId="2656">
      <pivotArea dataOnly="0" labelOnly="1" outline="0" fieldPosition="0">
        <references count="3">
          <reference field="3" count="1" selected="0">
            <x v="3"/>
          </reference>
          <reference field="4" count="1">
            <x v="0"/>
          </reference>
          <reference field="7" count="1" selected="0">
            <x v="12"/>
          </reference>
        </references>
      </pivotArea>
    </format>
    <format dxfId="2655">
      <pivotArea dataOnly="0" labelOnly="1" outline="0" fieldPosition="0">
        <references count="3">
          <reference field="3" count="1" selected="0">
            <x v="3"/>
          </reference>
          <reference field="4" count="1">
            <x v="0"/>
          </reference>
          <reference field="7" count="1" selected="0">
            <x v="15"/>
          </reference>
        </references>
      </pivotArea>
    </format>
    <format dxfId="2654">
      <pivotArea dataOnly="0" labelOnly="1" outline="0" fieldPosition="0">
        <references count="3">
          <reference field="3" count="1" selected="0">
            <x v="3"/>
          </reference>
          <reference field="4" count="1">
            <x v="0"/>
          </reference>
          <reference field="7" count="1" selected="0">
            <x v="16"/>
          </reference>
        </references>
      </pivotArea>
    </format>
    <format dxfId="2653">
      <pivotArea dataOnly="0" labelOnly="1" outline="0" fieldPosition="0">
        <references count="3">
          <reference field="3" count="1" selected="0">
            <x v="3"/>
          </reference>
          <reference field="4" count="1">
            <x v="0"/>
          </reference>
          <reference field="7" count="1" selected="0">
            <x v="23"/>
          </reference>
        </references>
      </pivotArea>
    </format>
    <format dxfId="2652">
      <pivotArea dataOnly="0" labelOnly="1" outline="0" fieldPosition="0">
        <references count="3">
          <reference field="3" count="1" selected="0">
            <x v="3"/>
          </reference>
          <reference field="4" count="1">
            <x v="0"/>
          </reference>
          <reference field="7" count="1" selected="0">
            <x v="24"/>
          </reference>
        </references>
      </pivotArea>
    </format>
    <format dxfId="2651">
      <pivotArea dataOnly="0" labelOnly="1" outline="0" fieldPosition="0">
        <references count="3">
          <reference field="3" count="1" selected="0">
            <x v="4"/>
          </reference>
          <reference field="4" count="1">
            <x v="2"/>
          </reference>
          <reference field="7" count="1" selected="0">
            <x v="0"/>
          </reference>
        </references>
      </pivotArea>
    </format>
    <format dxfId="2650">
      <pivotArea dataOnly="0" labelOnly="1" outline="0" fieldPosition="0">
        <references count="3">
          <reference field="3" count="1" selected="0">
            <x v="4"/>
          </reference>
          <reference field="4" count="1">
            <x v="2"/>
          </reference>
          <reference field="7" count="1" selected="0">
            <x v="2"/>
          </reference>
        </references>
      </pivotArea>
    </format>
    <format dxfId="2649">
      <pivotArea dataOnly="0" labelOnly="1" outline="0" fieldPosition="0">
        <references count="3">
          <reference field="3" count="1" selected="0">
            <x v="4"/>
          </reference>
          <reference field="4" count="1">
            <x v="2"/>
          </reference>
          <reference field="7" count="1" selected="0">
            <x v="8"/>
          </reference>
        </references>
      </pivotArea>
    </format>
    <format dxfId="2648">
      <pivotArea dataOnly="0" labelOnly="1" outline="0" fieldPosition="0">
        <references count="3">
          <reference field="3" count="1" selected="0">
            <x v="4"/>
          </reference>
          <reference field="4" count="1">
            <x v="2"/>
          </reference>
          <reference field="7" count="1" selected="0">
            <x v="9"/>
          </reference>
        </references>
      </pivotArea>
    </format>
    <format dxfId="2647">
      <pivotArea dataOnly="0" labelOnly="1" outline="0" fieldPosition="0">
        <references count="3">
          <reference field="3" count="1" selected="0">
            <x v="4"/>
          </reference>
          <reference field="4" count="1">
            <x v="2"/>
          </reference>
          <reference field="7" count="1" selected="0">
            <x v="14"/>
          </reference>
        </references>
      </pivotArea>
    </format>
    <format dxfId="2646">
      <pivotArea dataOnly="0" labelOnly="1" outline="0" fieldPosition="0">
        <references count="3">
          <reference field="3" count="1" selected="0">
            <x v="4"/>
          </reference>
          <reference field="4" count="1">
            <x v="2"/>
          </reference>
          <reference field="7" count="1" selected="0">
            <x v="16"/>
          </reference>
        </references>
      </pivotArea>
    </format>
    <format dxfId="2645">
      <pivotArea dataOnly="0" labelOnly="1" outline="0" fieldPosition="0">
        <references count="3">
          <reference field="3" count="1" selected="0">
            <x v="4"/>
          </reference>
          <reference field="4" count="1">
            <x v="2"/>
          </reference>
          <reference field="7" count="1" selected="0">
            <x v="17"/>
          </reference>
        </references>
      </pivotArea>
    </format>
    <format dxfId="2644">
      <pivotArea dataOnly="0" labelOnly="1" outline="0" fieldPosition="0">
        <references count="3">
          <reference field="3" count="1" selected="0">
            <x v="4"/>
          </reference>
          <reference field="4" count="1">
            <x v="2"/>
          </reference>
          <reference field="7" count="1" selected="0">
            <x v="18"/>
          </reference>
        </references>
      </pivotArea>
    </format>
    <format dxfId="2643">
      <pivotArea dataOnly="0" labelOnly="1" outline="0" fieldPosition="0">
        <references count="3">
          <reference field="3" count="1" selected="0">
            <x v="4"/>
          </reference>
          <reference field="4" count="1">
            <x v="2"/>
          </reference>
          <reference field="7" count="1" selected="0">
            <x v="29"/>
          </reference>
        </references>
      </pivotArea>
    </format>
    <format dxfId="2642">
      <pivotArea dataOnly="0" labelOnly="1" outline="0" fieldPosition="0">
        <references count="3">
          <reference field="3" count="1" selected="0">
            <x v="5"/>
          </reference>
          <reference field="4" count="1">
            <x v="2"/>
          </reference>
          <reference field="7" count="1" selected="0">
            <x v="0"/>
          </reference>
        </references>
      </pivotArea>
    </format>
    <format dxfId="2641">
      <pivotArea dataOnly="0" labelOnly="1" outline="0" fieldPosition="0">
        <references count="3">
          <reference field="3" count="1" selected="0">
            <x v="5"/>
          </reference>
          <reference field="4" count="1">
            <x v="2"/>
          </reference>
          <reference field="7" count="1" selected="0">
            <x v="2"/>
          </reference>
        </references>
      </pivotArea>
    </format>
    <format dxfId="2640">
      <pivotArea dataOnly="0" labelOnly="1" outline="0" fieldPosition="0">
        <references count="3">
          <reference field="3" count="1" selected="0">
            <x v="5"/>
          </reference>
          <reference field="4" count="1">
            <x v="2"/>
          </reference>
          <reference field="7" count="1" selected="0">
            <x v="4"/>
          </reference>
        </references>
      </pivotArea>
    </format>
    <format dxfId="2639">
      <pivotArea dataOnly="0" labelOnly="1" outline="0" fieldPosition="0">
        <references count="3">
          <reference field="3" count="1" selected="0">
            <x v="5"/>
          </reference>
          <reference field="4" count="1">
            <x v="2"/>
          </reference>
          <reference field="7" count="1" selected="0">
            <x v="7"/>
          </reference>
        </references>
      </pivotArea>
    </format>
    <format dxfId="2638">
      <pivotArea dataOnly="0" labelOnly="1" outline="0" fieldPosition="0">
        <references count="3">
          <reference field="3" count="1" selected="0">
            <x v="5"/>
          </reference>
          <reference field="4" count="1">
            <x v="2"/>
          </reference>
          <reference field="7" count="1" selected="0">
            <x v="8"/>
          </reference>
        </references>
      </pivotArea>
    </format>
    <format dxfId="2637">
      <pivotArea dataOnly="0" labelOnly="1" outline="0" fieldPosition="0">
        <references count="3">
          <reference field="3" count="1" selected="0">
            <x v="5"/>
          </reference>
          <reference field="4" count="1">
            <x v="2"/>
          </reference>
          <reference field="7" count="1" selected="0">
            <x v="10"/>
          </reference>
        </references>
      </pivotArea>
    </format>
    <format dxfId="2636">
      <pivotArea dataOnly="0" labelOnly="1" outline="0" fieldPosition="0">
        <references count="3">
          <reference field="3" count="1" selected="0">
            <x v="5"/>
          </reference>
          <reference field="4" count="1">
            <x v="2"/>
          </reference>
          <reference field="7" count="1" selected="0">
            <x v="12"/>
          </reference>
        </references>
      </pivotArea>
    </format>
    <format dxfId="2635">
      <pivotArea dataOnly="0" labelOnly="1" outline="0" fieldPosition="0">
        <references count="3">
          <reference field="3" count="1" selected="0">
            <x v="5"/>
          </reference>
          <reference field="4" count="1">
            <x v="2"/>
          </reference>
          <reference field="7" count="1" selected="0">
            <x v="14"/>
          </reference>
        </references>
      </pivotArea>
    </format>
    <format dxfId="2634">
      <pivotArea dataOnly="0" labelOnly="1" outline="0" fieldPosition="0">
        <references count="3">
          <reference field="3" count="1" selected="0">
            <x v="5"/>
          </reference>
          <reference field="4" count="1">
            <x v="2"/>
          </reference>
          <reference field="7" count="1" selected="0">
            <x v="16"/>
          </reference>
        </references>
      </pivotArea>
    </format>
    <format dxfId="2633">
      <pivotArea dataOnly="0" labelOnly="1" outline="0" fieldPosition="0">
        <references count="3">
          <reference field="3" count="1" selected="0">
            <x v="5"/>
          </reference>
          <reference field="4" count="1">
            <x v="2"/>
          </reference>
          <reference field="7" count="1" selected="0">
            <x v="18"/>
          </reference>
        </references>
      </pivotArea>
    </format>
    <format dxfId="2632">
      <pivotArea dataOnly="0" labelOnly="1" outline="0" fieldPosition="0">
        <references count="3">
          <reference field="3" count="1" selected="0">
            <x v="5"/>
          </reference>
          <reference field="4" count="1">
            <x v="2"/>
          </reference>
          <reference field="7" count="1" selected="0">
            <x v="20"/>
          </reference>
        </references>
      </pivotArea>
    </format>
    <format dxfId="2631">
      <pivotArea dataOnly="0" labelOnly="1" outline="0" fieldPosition="0">
        <references count="3">
          <reference field="3" count="1" selected="0">
            <x v="5"/>
          </reference>
          <reference field="4" count="1">
            <x v="2"/>
          </reference>
          <reference field="7" count="1" selected="0">
            <x v="25"/>
          </reference>
        </references>
      </pivotArea>
    </format>
    <format dxfId="2630">
      <pivotArea dataOnly="0" labelOnly="1" outline="0" fieldPosition="0">
        <references count="3">
          <reference field="3" count="1" selected="0">
            <x v="6"/>
          </reference>
          <reference field="4" count="1">
            <x v="0"/>
          </reference>
          <reference field="7" count="1" selected="0">
            <x v="1"/>
          </reference>
        </references>
      </pivotArea>
    </format>
    <format dxfId="2629">
      <pivotArea dataOnly="0" labelOnly="1" outline="0" fieldPosition="0">
        <references count="3">
          <reference field="3" count="1" selected="0">
            <x v="6"/>
          </reference>
          <reference field="4" count="1">
            <x v="0"/>
          </reference>
          <reference field="7" count="1" selected="0">
            <x v="2"/>
          </reference>
        </references>
      </pivotArea>
    </format>
    <format dxfId="2628">
      <pivotArea dataOnly="0" labelOnly="1" outline="0" fieldPosition="0">
        <references count="3">
          <reference field="3" count="1" selected="0">
            <x v="6"/>
          </reference>
          <reference field="4" count="1">
            <x v="0"/>
          </reference>
          <reference field="7" count="1" selected="0">
            <x v="4"/>
          </reference>
        </references>
      </pivotArea>
    </format>
    <format dxfId="2627">
      <pivotArea dataOnly="0" labelOnly="1" outline="0" fieldPosition="0">
        <references count="3">
          <reference field="3" count="1" selected="0">
            <x v="6"/>
          </reference>
          <reference field="4" count="1">
            <x v="0"/>
          </reference>
          <reference field="7" count="1" selected="0">
            <x v="7"/>
          </reference>
        </references>
      </pivotArea>
    </format>
    <format dxfId="2626">
      <pivotArea dataOnly="0" labelOnly="1" outline="0" fieldPosition="0">
        <references count="3">
          <reference field="3" count="1" selected="0">
            <x v="6"/>
          </reference>
          <reference field="4" count="1">
            <x v="0"/>
          </reference>
          <reference field="7" count="1" selected="0">
            <x v="9"/>
          </reference>
        </references>
      </pivotArea>
    </format>
    <format dxfId="2625">
      <pivotArea dataOnly="0" labelOnly="1" outline="0" fieldPosition="0">
        <references count="3">
          <reference field="3" count="1" selected="0">
            <x v="6"/>
          </reference>
          <reference field="4" count="1">
            <x v="0"/>
          </reference>
          <reference field="7" count="1" selected="0">
            <x v="14"/>
          </reference>
        </references>
      </pivotArea>
    </format>
    <format dxfId="2624">
      <pivotArea dataOnly="0" labelOnly="1" outline="0" fieldPosition="0">
        <references count="3">
          <reference field="3" count="1" selected="0">
            <x v="6"/>
          </reference>
          <reference field="4" count="1">
            <x v="0"/>
          </reference>
          <reference field="7" count="1" selected="0">
            <x v="16"/>
          </reference>
        </references>
      </pivotArea>
    </format>
    <format dxfId="2623">
      <pivotArea dataOnly="0" labelOnly="1" outline="0" fieldPosition="0">
        <references count="3">
          <reference field="3" count="1" selected="0">
            <x v="6"/>
          </reference>
          <reference field="4" count="1">
            <x v="0"/>
          </reference>
          <reference field="7" count="1" selected="0">
            <x v="20"/>
          </reference>
        </references>
      </pivotArea>
    </format>
    <format dxfId="2622">
      <pivotArea dataOnly="0" labelOnly="1" outline="0" fieldPosition="0">
        <references count="3">
          <reference field="3" count="1" selected="0">
            <x v="6"/>
          </reference>
          <reference field="4" count="1">
            <x v="0"/>
          </reference>
          <reference field="7" count="1" selected="0">
            <x v="23"/>
          </reference>
        </references>
      </pivotArea>
    </format>
    <format dxfId="2621">
      <pivotArea dataOnly="0" labelOnly="1" outline="0" fieldPosition="0">
        <references count="3">
          <reference field="3" count="1" selected="0">
            <x v="6"/>
          </reference>
          <reference field="4" count="1">
            <x v="0"/>
          </reference>
          <reference field="7" count="1" selected="0">
            <x v="24"/>
          </reference>
        </references>
      </pivotArea>
    </format>
    <format dxfId="2620">
      <pivotArea dataOnly="0" labelOnly="1" outline="0" fieldPosition="0">
        <references count="3">
          <reference field="3" count="1" selected="0">
            <x v="6"/>
          </reference>
          <reference field="4" count="1">
            <x v="0"/>
          </reference>
          <reference field="7" count="1" selected="0">
            <x v="29"/>
          </reference>
        </references>
      </pivotArea>
    </format>
    <format dxfId="2619">
      <pivotArea dataOnly="0" labelOnly="1" outline="0" fieldPosition="0">
        <references count="3">
          <reference field="3" count="1" selected="0">
            <x v="7"/>
          </reference>
          <reference field="4" count="1">
            <x v="1"/>
          </reference>
          <reference field="7" count="1" selected="0">
            <x v="1"/>
          </reference>
        </references>
      </pivotArea>
    </format>
    <format dxfId="2618">
      <pivotArea dataOnly="0" labelOnly="1" outline="0" fieldPosition="0">
        <references count="3">
          <reference field="3" count="1" selected="0">
            <x v="7"/>
          </reference>
          <reference field="4" count="1">
            <x v="1"/>
          </reference>
          <reference field="7" count="1" selected="0">
            <x v="2"/>
          </reference>
        </references>
      </pivotArea>
    </format>
    <format dxfId="2617">
      <pivotArea dataOnly="0" labelOnly="1" outline="0" fieldPosition="0">
        <references count="3">
          <reference field="3" count="1" selected="0">
            <x v="7"/>
          </reference>
          <reference field="4" count="1">
            <x v="1"/>
          </reference>
          <reference field="7" count="1" selected="0">
            <x v="5"/>
          </reference>
        </references>
      </pivotArea>
    </format>
    <format dxfId="2616">
      <pivotArea dataOnly="0" labelOnly="1" outline="0" fieldPosition="0">
        <references count="3">
          <reference field="3" count="1" selected="0">
            <x v="7"/>
          </reference>
          <reference field="4" count="1">
            <x v="1"/>
          </reference>
          <reference field="7" count="1" selected="0">
            <x v="7"/>
          </reference>
        </references>
      </pivotArea>
    </format>
    <format dxfId="2615">
      <pivotArea dataOnly="0" labelOnly="1" outline="0" fieldPosition="0">
        <references count="3">
          <reference field="3" count="1" selected="0">
            <x v="7"/>
          </reference>
          <reference field="4" count="1">
            <x v="1"/>
          </reference>
          <reference field="7" count="1" selected="0">
            <x v="10"/>
          </reference>
        </references>
      </pivotArea>
    </format>
    <format dxfId="2614">
      <pivotArea dataOnly="0" labelOnly="1" outline="0" fieldPosition="0">
        <references count="3">
          <reference field="3" count="1" selected="0">
            <x v="7"/>
          </reference>
          <reference field="4" count="1">
            <x v="1"/>
          </reference>
          <reference field="7" count="1" selected="0">
            <x v="11"/>
          </reference>
        </references>
      </pivotArea>
    </format>
    <format dxfId="2613">
      <pivotArea dataOnly="0" labelOnly="1" outline="0" fieldPosition="0">
        <references count="3">
          <reference field="3" count="1" selected="0">
            <x v="7"/>
          </reference>
          <reference field="4" count="1">
            <x v="1"/>
          </reference>
          <reference field="7" count="1" selected="0">
            <x v="15"/>
          </reference>
        </references>
      </pivotArea>
    </format>
    <format dxfId="2612">
      <pivotArea dataOnly="0" labelOnly="1" outline="0" fieldPosition="0">
        <references count="3">
          <reference field="3" count="1" selected="0">
            <x v="7"/>
          </reference>
          <reference field="4" count="1">
            <x v="1"/>
          </reference>
          <reference field="7" count="1" selected="0">
            <x v="16"/>
          </reference>
        </references>
      </pivotArea>
    </format>
    <format dxfId="2611">
      <pivotArea dataOnly="0" labelOnly="1" outline="0" fieldPosition="0">
        <references count="3">
          <reference field="3" count="1" selected="0">
            <x v="7"/>
          </reference>
          <reference field="4" count="1">
            <x v="1"/>
          </reference>
          <reference field="7" count="1" selected="0">
            <x v="17"/>
          </reference>
        </references>
      </pivotArea>
    </format>
    <format dxfId="2610">
      <pivotArea dataOnly="0" labelOnly="1" outline="0" fieldPosition="0">
        <references count="3">
          <reference field="3" count="1" selected="0">
            <x v="7"/>
          </reference>
          <reference field="4" count="1">
            <x v="1"/>
          </reference>
          <reference field="7" count="1" selected="0">
            <x v="18"/>
          </reference>
        </references>
      </pivotArea>
    </format>
    <format dxfId="2609">
      <pivotArea dataOnly="0" labelOnly="1" outline="0" fieldPosition="0">
        <references count="3">
          <reference field="3" count="1" selected="0">
            <x v="7"/>
          </reference>
          <reference field="4" count="1">
            <x v="1"/>
          </reference>
          <reference field="7" count="1" selected="0">
            <x v="25"/>
          </reference>
        </references>
      </pivotArea>
    </format>
    <format dxfId="2608">
      <pivotArea dataOnly="0" labelOnly="1" outline="0" fieldPosition="0">
        <references count="3">
          <reference field="3" count="1" selected="0">
            <x v="7"/>
          </reference>
          <reference field="4" count="1">
            <x v="1"/>
          </reference>
          <reference field="7" count="1" selected="0">
            <x v="26"/>
          </reference>
        </references>
      </pivotArea>
    </format>
    <format dxfId="2607">
      <pivotArea dataOnly="0" labelOnly="1" outline="0" fieldPosition="0">
        <references count="3">
          <reference field="3" count="1" selected="0">
            <x v="7"/>
          </reference>
          <reference field="4" count="1">
            <x v="1"/>
          </reference>
          <reference field="7" count="1" selected="0">
            <x v="29"/>
          </reference>
        </references>
      </pivotArea>
    </format>
    <format dxfId="2606">
      <pivotArea dataOnly="0" labelOnly="1" outline="0" fieldPosition="0">
        <references count="3">
          <reference field="3" count="1" selected="0">
            <x v="8"/>
          </reference>
          <reference field="4" count="1">
            <x v="1"/>
          </reference>
          <reference field="7" count="1" selected="0">
            <x v="0"/>
          </reference>
        </references>
      </pivotArea>
    </format>
    <format dxfId="2605">
      <pivotArea dataOnly="0" labelOnly="1" outline="0" fieldPosition="0">
        <references count="3">
          <reference field="3" count="1" selected="0">
            <x v="8"/>
          </reference>
          <reference field="4" count="1">
            <x v="1"/>
          </reference>
          <reference field="7" count="1" selected="0">
            <x v="3"/>
          </reference>
        </references>
      </pivotArea>
    </format>
    <format dxfId="2604">
      <pivotArea dataOnly="0" labelOnly="1" outline="0" fieldPosition="0">
        <references count="3">
          <reference field="3" count="1" selected="0">
            <x v="8"/>
          </reference>
          <reference field="4" count="1">
            <x v="1"/>
          </reference>
          <reference field="7" count="1" selected="0">
            <x v="4"/>
          </reference>
        </references>
      </pivotArea>
    </format>
    <format dxfId="2603">
      <pivotArea dataOnly="0" labelOnly="1" outline="0" fieldPosition="0">
        <references count="3">
          <reference field="3" count="1" selected="0">
            <x v="8"/>
          </reference>
          <reference field="4" count="1">
            <x v="1"/>
          </reference>
          <reference field="7" count="1" selected="0">
            <x v="5"/>
          </reference>
        </references>
      </pivotArea>
    </format>
    <format dxfId="2602">
      <pivotArea dataOnly="0" labelOnly="1" outline="0" fieldPosition="0">
        <references count="3">
          <reference field="3" count="1" selected="0">
            <x v="8"/>
          </reference>
          <reference field="4" count="1">
            <x v="1"/>
          </reference>
          <reference field="7" count="1" selected="0">
            <x v="8"/>
          </reference>
        </references>
      </pivotArea>
    </format>
    <format dxfId="2601">
      <pivotArea dataOnly="0" labelOnly="1" outline="0" fieldPosition="0">
        <references count="3">
          <reference field="3" count="1" selected="0">
            <x v="8"/>
          </reference>
          <reference field="4" count="1">
            <x v="1"/>
          </reference>
          <reference field="7" count="1" selected="0">
            <x v="9"/>
          </reference>
        </references>
      </pivotArea>
    </format>
    <format dxfId="2600">
      <pivotArea dataOnly="0" labelOnly="1" outline="0" fieldPosition="0">
        <references count="3">
          <reference field="3" count="1" selected="0">
            <x v="8"/>
          </reference>
          <reference field="4" count="1">
            <x v="1"/>
          </reference>
          <reference field="7" count="1" selected="0">
            <x v="11"/>
          </reference>
        </references>
      </pivotArea>
    </format>
    <format dxfId="2599">
      <pivotArea dataOnly="0" labelOnly="1" outline="0" fieldPosition="0">
        <references count="3">
          <reference field="3" count="1" selected="0">
            <x v="8"/>
          </reference>
          <reference field="4" count="1">
            <x v="1"/>
          </reference>
          <reference field="7" count="1" selected="0">
            <x v="14"/>
          </reference>
        </references>
      </pivotArea>
    </format>
    <format dxfId="2598">
      <pivotArea dataOnly="0" labelOnly="1" outline="0" fieldPosition="0">
        <references count="3">
          <reference field="3" count="1" selected="0">
            <x v="8"/>
          </reference>
          <reference field="4" count="1">
            <x v="1"/>
          </reference>
          <reference field="7" count="1" selected="0">
            <x v="16"/>
          </reference>
        </references>
      </pivotArea>
    </format>
    <format dxfId="2597">
      <pivotArea dataOnly="0" labelOnly="1" outline="0" fieldPosition="0">
        <references count="3">
          <reference field="3" count="1" selected="0">
            <x v="8"/>
          </reference>
          <reference field="4" count="1">
            <x v="1"/>
          </reference>
          <reference field="7" count="1" selected="0">
            <x v="17"/>
          </reference>
        </references>
      </pivotArea>
    </format>
    <format dxfId="2596">
      <pivotArea dataOnly="0" labelOnly="1" outline="0" fieldPosition="0">
        <references count="3">
          <reference field="3" count="1" selected="0">
            <x v="8"/>
          </reference>
          <reference field="4" count="1">
            <x v="1"/>
          </reference>
          <reference field="7" count="1" selected="0">
            <x v="18"/>
          </reference>
        </references>
      </pivotArea>
    </format>
    <format dxfId="2595">
      <pivotArea dataOnly="0" labelOnly="1" outline="0" fieldPosition="0">
        <references count="3">
          <reference field="3" count="1" selected="0">
            <x v="8"/>
          </reference>
          <reference field="4" count="1">
            <x v="1"/>
          </reference>
          <reference field="7" count="1" selected="0">
            <x v="21"/>
          </reference>
        </references>
      </pivotArea>
    </format>
    <format dxfId="2594">
      <pivotArea dataOnly="0" labelOnly="1" outline="0" fieldPosition="0">
        <references count="3">
          <reference field="3" count="1" selected="0">
            <x v="8"/>
          </reference>
          <reference field="4" count="1">
            <x v="1"/>
          </reference>
          <reference field="7" count="1" selected="0">
            <x v="22"/>
          </reference>
        </references>
      </pivotArea>
    </format>
    <format dxfId="2593">
      <pivotArea dataOnly="0" labelOnly="1" outline="0" fieldPosition="0">
        <references count="3">
          <reference field="3" count="1" selected="0">
            <x v="8"/>
          </reference>
          <reference field="4" count="1">
            <x v="1"/>
          </reference>
          <reference field="7" count="1" selected="0">
            <x v="28"/>
          </reference>
        </references>
      </pivotArea>
    </format>
    <format dxfId="2592">
      <pivotArea dataOnly="0" labelOnly="1" outline="0" fieldPosition="0">
        <references count="3">
          <reference field="3" count="1" selected="0">
            <x v="9"/>
          </reference>
          <reference field="4" count="1">
            <x v="3"/>
          </reference>
          <reference field="7" count="1" selected="0">
            <x v="4"/>
          </reference>
        </references>
      </pivotArea>
    </format>
    <format dxfId="2591">
      <pivotArea dataOnly="0" labelOnly="1" outline="0" fieldPosition="0">
        <references count="3">
          <reference field="3" count="1" selected="0">
            <x v="9"/>
          </reference>
          <reference field="4" count="1">
            <x v="3"/>
          </reference>
          <reference field="7" count="1" selected="0">
            <x v="7"/>
          </reference>
        </references>
      </pivotArea>
    </format>
    <format dxfId="2590">
      <pivotArea dataOnly="0" labelOnly="1" outline="0" fieldPosition="0">
        <references count="3">
          <reference field="3" count="1" selected="0">
            <x v="9"/>
          </reference>
          <reference field="4" count="1">
            <x v="3"/>
          </reference>
          <reference field="7" count="1" selected="0">
            <x v="10"/>
          </reference>
        </references>
      </pivotArea>
    </format>
    <format dxfId="2589">
      <pivotArea dataOnly="0" labelOnly="1" outline="0" fieldPosition="0">
        <references count="3">
          <reference field="3" count="1" selected="0">
            <x v="9"/>
          </reference>
          <reference field="4" count="1">
            <x v="3"/>
          </reference>
          <reference field="7" count="1" selected="0">
            <x v="11"/>
          </reference>
        </references>
      </pivotArea>
    </format>
    <format dxfId="2588">
      <pivotArea dataOnly="0" labelOnly="1" outline="0" fieldPosition="0">
        <references count="3">
          <reference field="3" count="1" selected="0">
            <x v="9"/>
          </reference>
          <reference field="4" count="1">
            <x v="3"/>
          </reference>
          <reference field="7" count="1" selected="0">
            <x v="12"/>
          </reference>
        </references>
      </pivotArea>
    </format>
    <format dxfId="2587">
      <pivotArea dataOnly="0" labelOnly="1" outline="0" fieldPosition="0">
        <references count="3">
          <reference field="3" count="1" selected="0">
            <x v="9"/>
          </reference>
          <reference field="4" count="1">
            <x v="3"/>
          </reference>
          <reference field="7" count="1" selected="0">
            <x v="13"/>
          </reference>
        </references>
      </pivotArea>
    </format>
    <format dxfId="2586">
      <pivotArea dataOnly="0" labelOnly="1" outline="0" fieldPosition="0">
        <references count="3">
          <reference field="3" count="1" selected="0">
            <x v="9"/>
          </reference>
          <reference field="4" count="1">
            <x v="3"/>
          </reference>
          <reference field="7" count="1" selected="0">
            <x v="14"/>
          </reference>
        </references>
      </pivotArea>
    </format>
    <format dxfId="2585">
      <pivotArea dataOnly="0" labelOnly="1" outline="0" fieldPosition="0">
        <references count="3">
          <reference field="3" count="1" selected="0">
            <x v="9"/>
          </reference>
          <reference field="4" count="1">
            <x v="3"/>
          </reference>
          <reference field="7" count="1" selected="0">
            <x v="15"/>
          </reference>
        </references>
      </pivotArea>
    </format>
    <format dxfId="2584">
      <pivotArea dataOnly="0" labelOnly="1" outline="0" fieldPosition="0">
        <references count="3">
          <reference field="3" count="1" selected="0">
            <x v="9"/>
          </reference>
          <reference field="4" count="1">
            <x v="3"/>
          </reference>
          <reference field="7" count="1" selected="0">
            <x v="18"/>
          </reference>
        </references>
      </pivotArea>
    </format>
    <format dxfId="2583">
      <pivotArea dataOnly="0" labelOnly="1" outline="0" fieldPosition="0">
        <references count="3">
          <reference field="3" count="1" selected="0">
            <x v="9"/>
          </reference>
          <reference field="4" count="1">
            <x v="3"/>
          </reference>
          <reference field="7" count="1" selected="0">
            <x v="19"/>
          </reference>
        </references>
      </pivotArea>
    </format>
    <format dxfId="2582">
      <pivotArea dataOnly="0" labelOnly="1" outline="0" fieldPosition="0">
        <references count="3">
          <reference field="3" count="1" selected="0">
            <x v="9"/>
          </reference>
          <reference field="4" count="1">
            <x v="3"/>
          </reference>
          <reference field="7" count="1" selected="0">
            <x v="20"/>
          </reference>
        </references>
      </pivotArea>
    </format>
    <format dxfId="2581">
      <pivotArea dataOnly="0" labelOnly="1" outline="0" fieldPosition="0">
        <references count="3">
          <reference field="3" count="1" selected="0">
            <x v="9"/>
          </reference>
          <reference field="4" count="1">
            <x v="3"/>
          </reference>
          <reference field="7" count="1" selected="0">
            <x v="28"/>
          </reference>
        </references>
      </pivotArea>
    </format>
    <format dxfId="2580">
      <pivotArea dataOnly="0" labelOnly="1" outline="0" fieldPosition="0">
        <references count="3">
          <reference field="3" count="1" selected="0">
            <x v="10"/>
          </reference>
          <reference field="4" count="1">
            <x v="1"/>
          </reference>
          <reference field="7" count="1" selected="0">
            <x v="3"/>
          </reference>
        </references>
      </pivotArea>
    </format>
    <format dxfId="2579">
      <pivotArea dataOnly="0" labelOnly="1" outline="0" fieldPosition="0">
        <references count="3">
          <reference field="3" count="1" selected="0">
            <x v="10"/>
          </reference>
          <reference field="4" count="1">
            <x v="1"/>
          </reference>
          <reference field="7" count="1" selected="0">
            <x v="5"/>
          </reference>
        </references>
      </pivotArea>
    </format>
    <format dxfId="2578">
      <pivotArea dataOnly="0" labelOnly="1" outline="0" fieldPosition="0">
        <references count="3">
          <reference field="3" count="1" selected="0">
            <x v="10"/>
          </reference>
          <reference field="4" count="1">
            <x v="1"/>
          </reference>
          <reference field="7" count="1" selected="0">
            <x v="6"/>
          </reference>
        </references>
      </pivotArea>
    </format>
    <format dxfId="2577">
      <pivotArea dataOnly="0" labelOnly="1" outline="0" fieldPosition="0">
        <references count="3">
          <reference field="3" count="1" selected="0">
            <x v="10"/>
          </reference>
          <reference field="4" count="1">
            <x v="1"/>
          </reference>
          <reference field="7" count="1" selected="0">
            <x v="10"/>
          </reference>
        </references>
      </pivotArea>
    </format>
    <format dxfId="2576">
      <pivotArea dataOnly="0" labelOnly="1" outline="0" fieldPosition="0">
        <references count="3">
          <reference field="3" count="1" selected="0">
            <x v="10"/>
          </reference>
          <reference field="4" count="1">
            <x v="1"/>
          </reference>
          <reference field="7" count="1" selected="0">
            <x v="17"/>
          </reference>
        </references>
      </pivotArea>
    </format>
    <format dxfId="2575">
      <pivotArea dataOnly="0" labelOnly="1" outline="0" fieldPosition="0">
        <references count="3">
          <reference field="3" count="1" selected="0">
            <x v="10"/>
          </reference>
          <reference field="4" count="1">
            <x v="1"/>
          </reference>
          <reference field="7" count="1" selected="0">
            <x v="19"/>
          </reference>
        </references>
      </pivotArea>
    </format>
    <format dxfId="2574">
      <pivotArea dataOnly="0" labelOnly="1" outline="0" fieldPosition="0">
        <references count="3">
          <reference field="3" count="1" selected="0">
            <x v="10"/>
          </reference>
          <reference field="4" count="1">
            <x v="1"/>
          </reference>
          <reference field="7" count="1" selected="0">
            <x v="20"/>
          </reference>
        </references>
      </pivotArea>
    </format>
    <format dxfId="2573">
      <pivotArea dataOnly="0" labelOnly="1" outline="0" fieldPosition="0">
        <references count="3">
          <reference field="3" count="1" selected="0">
            <x v="10"/>
          </reference>
          <reference field="4" count="1">
            <x v="1"/>
          </reference>
          <reference field="7" count="1" selected="0">
            <x v="23"/>
          </reference>
        </references>
      </pivotArea>
    </format>
    <format dxfId="2572">
      <pivotArea dataOnly="0" labelOnly="1" outline="0" fieldPosition="0">
        <references count="3">
          <reference field="3" count="1" selected="0">
            <x v="10"/>
          </reference>
          <reference field="4" count="1">
            <x v="1"/>
          </reference>
          <reference field="7" count="1" selected="0">
            <x v="28"/>
          </reference>
        </references>
      </pivotArea>
    </format>
    <format dxfId="2571">
      <pivotArea dataOnly="0" labelOnly="1" outline="0" fieldPosition="0">
        <references count="3">
          <reference field="3" count="1" selected="0">
            <x v="11"/>
          </reference>
          <reference field="4" count="1">
            <x v="0"/>
          </reference>
          <reference field="7" count="1" selected="0">
            <x v="0"/>
          </reference>
        </references>
      </pivotArea>
    </format>
    <format dxfId="2570">
      <pivotArea dataOnly="0" labelOnly="1" outline="0" fieldPosition="0">
        <references count="3">
          <reference field="3" count="1" selected="0">
            <x v="11"/>
          </reference>
          <reference field="4" count="1">
            <x v="0"/>
          </reference>
          <reference field="7" count="1" selected="0">
            <x v="8"/>
          </reference>
        </references>
      </pivotArea>
    </format>
    <format dxfId="2569">
      <pivotArea dataOnly="0" labelOnly="1" outline="0" fieldPosition="0">
        <references count="3">
          <reference field="3" count="1" selected="0">
            <x v="11"/>
          </reference>
          <reference field="4" count="1">
            <x v="0"/>
          </reference>
          <reference field="7" count="1" selected="0">
            <x v="11"/>
          </reference>
        </references>
      </pivotArea>
    </format>
    <format dxfId="2568">
      <pivotArea dataOnly="0" labelOnly="1" outline="0" fieldPosition="0">
        <references count="3">
          <reference field="3" count="1" selected="0">
            <x v="11"/>
          </reference>
          <reference field="4" count="1">
            <x v="0"/>
          </reference>
          <reference field="7" count="1" selected="0">
            <x v="13"/>
          </reference>
        </references>
      </pivotArea>
    </format>
    <format dxfId="2567">
      <pivotArea dataOnly="0" labelOnly="1" outline="0" fieldPosition="0">
        <references count="3">
          <reference field="3" count="1" selected="0">
            <x v="11"/>
          </reference>
          <reference field="4" count="1">
            <x v="0"/>
          </reference>
          <reference field="7" count="1" selected="0">
            <x v="17"/>
          </reference>
        </references>
      </pivotArea>
    </format>
    <format dxfId="2566">
      <pivotArea dataOnly="0" labelOnly="1" outline="0" fieldPosition="0">
        <references count="3">
          <reference field="3" count="1" selected="0">
            <x v="11"/>
          </reference>
          <reference field="4" count="1">
            <x v="0"/>
          </reference>
          <reference field="7" count="1" selected="0">
            <x v="21"/>
          </reference>
        </references>
      </pivotArea>
    </format>
    <format dxfId="2565">
      <pivotArea dataOnly="0" labelOnly="1" outline="0" fieldPosition="0">
        <references count="3">
          <reference field="3" count="1" selected="0">
            <x v="11"/>
          </reference>
          <reference field="4" count="1">
            <x v="0"/>
          </reference>
          <reference field="7" count="1" selected="0">
            <x v="22"/>
          </reference>
        </references>
      </pivotArea>
    </format>
    <format dxfId="2564">
      <pivotArea dataOnly="0" labelOnly="1" outline="0" fieldPosition="0">
        <references count="3">
          <reference field="3" count="1" selected="0">
            <x v="11"/>
          </reference>
          <reference field="4" count="1">
            <x v="0"/>
          </reference>
          <reference field="7" count="1" selected="0">
            <x v="26"/>
          </reference>
        </references>
      </pivotArea>
    </format>
    <format dxfId="2563">
      <pivotArea dataOnly="0" labelOnly="1" outline="0" fieldPosition="0">
        <references count="3">
          <reference field="3" count="1" selected="0">
            <x v="11"/>
          </reference>
          <reference field="4" count="1">
            <x v="0"/>
          </reference>
          <reference field="7" count="1" selected="0">
            <x v="29"/>
          </reference>
        </references>
      </pivotArea>
    </format>
    <format dxfId="2562">
      <pivotArea dataOnly="0" labelOnly="1" outline="0" fieldPosition="0">
        <references count="3">
          <reference field="3" count="1" selected="0">
            <x v="12"/>
          </reference>
          <reference field="4" count="1">
            <x v="0"/>
          </reference>
          <reference field="7" count="1" selected="0">
            <x v="7"/>
          </reference>
        </references>
      </pivotArea>
    </format>
    <format dxfId="2561">
      <pivotArea dataOnly="0" labelOnly="1" outline="0" fieldPosition="0">
        <references count="3">
          <reference field="3" count="1" selected="0">
            <x v="12"/>
          </reference>
          <reference field="4" count="1">
            <x v="0"/>
          </reference>
          <reference field="7" count="1" selected="0">
            <x v="8"/>
          </reference>
        </references>
      </pivotArea>
    </format>
    <format dxfId="2560">
      <pivotArea dataOnly="0" labelOnly="1" outline="0" fieldPosition="0">
        <references count="3">
          <reference field="3" count="1" selected="0">
            <x v="12"/>
          </reference>
          <reference field="4" count="1">
            <x v="0"/>
          </reference>
          <reference field="7" count="1" selected="0">
            <x v="9"/>
          </reference>
        </references>
      </pivotArea>
    </format>
    <format dxfId="2559">
      <pivotArea dataOnly="0" labelOnly="1" outline="0" fieldPosition="0">
        <references count="3">
          <reference field="3" count="1" selected="0">
            <x v="12"/>
          </reference>
          <reference field="4" count="1">
            <x v="0"/>
          </reference>
          <reference field="7" count="1" selected="0">
            <x v="13"/>
          </reference>
        </references>
      </pivotArea>
    </format>
    <format dxfId="2558">
      <pivotArea dataOnly="0" labelOnly="1" outline="0" fieldPosition="0">
        <references count="3">
          <reference field="3" count="1" selected="0">
            <x v="12"/>
          </reference>
          <reference field="4" count="1">
            <x v="0"/>
          </reference>
          <reference field="7" count="1" selected="0">
            <x v="14"/>
          </reference>
        </references>
      </pivotArea>
    </format>
    <format dxfId="2557">
      <pivotArea dataOnly="0" labelOnly="1" outline="0" fieldPosition="0">
        <references count="3">
          <reference field="3" count="1" selected="0">
            <x v="12"/>
          </reference>
          <reference field="4" count="1">
            <x v="0"/>
          </reference>
          <reference field="7" count="1" selected="0">
            <x v="19"/>
          </reference>
        </references>
      </pivotArea>
    </format>
    <format dxfId="2556">
      <pivotArea dataOnly="0" labelOnly="1" outline="0" fieldPosition="0">
        <references count="3">
          <reference field="3" count="1" selected="0">
            <x v="12"/>
          </reference>
          <reference field="4" count="1">
            <x v="0"/>
          </reference>
          <reference field="7" count="1" selected="0">
            <x v="20"/>
          </reference>
        </references>
      </pivotArea>
    </format>
    <format dxfId="2555">
      <pivotArea dataOnly="0" labelOnly="1" outline="0" fieldPosition="0">
        <references count="3">
          <reference field="3" count="1" selected="0">
            <x v="12"/>
          </reference>
          <reference field="4" count="1">
            <x v="0"/>
          </reference>
          <reference field="7" count="1" selected="0">
            <x v="23"/>
          </reference>
        </references>
      </pivotArea>
    </format>
    <format dxfId="2554">
      <pivotArea dataOnly="0" labelOnly="1" outline="0" fieldPosition="0">
        <references count="3">
          <reference field="3" count="1" selected="0">
            <x v="12"/>
          </reference>
          <reference field="4" count="1">
            <x v="0"/>
          </reference>
          <reference field="7" count="1" selected="0">
            <x v="25"/>
          </reference>
        </references>
      </pivotArea>
    </format>
    <format dxfId="2553">
      <pivotArea dataOnly="0" labelOnly="1" outline="0" fieldPosition="0">
        <references count="3">
          <reference field="3" count="1" selected="0">
            <x v="12"/>
          </reference>
          <reference field="4" count="1">
            <x v="0"/>
          </reference>
          <reference field="7" count="1" selected="0">
            <x v="26"/>
          </reference>
        </references>
      </pivotArea>
    </format>
    <format dxfId="2552">
      <pivotArea dataOnly="0" labelOnly="1" outline="0" fieldPosition="0">
        <references count="3">
          <reference field="3" count="1" selected="0">
            <x v="12"/>
          </reference>
          <reference field="4" count="1">
            <x v="0"/>
          </reference>
          <reference field="7" count="1" selected="0">
            <x v="27"/>
          </reference>
        </references>
      </pivotArea>
    </format>
    <format dxfId="2551">
      <pivotArea dataOnly="0" labelOnly="1" outline="0" fieldPosition="0">
        <references count="3">
          <reference field="3" count="1" selected="0">
            <x v="13"/>
          </reference>
          <reference field="4" count="1">
            <x v="0"/>
          </reference>
          <reference field="7" count="1" selected="0">
            <x v="0"/>
          </reference>
        </references>
      </pivotArea>
    </format>
    <format dxfId="2550">
      <pivotArea dataOnly="0" labelOnly="1" outline="0" fieldPosition="0">
        <references count="3">
          <reference field="3" count="1" selected="0">
            <x v="13"/>
          </reference>
          <reference field="4" count="1">
            <x v="0"/>
          </reference>
          <reference field="7" count="1" selected="0">
            <x v="1"/>
          </reference>
        </references>
      </pivotArea>
    </format>
    <format dxfId="2549">
      <pivotArea dataOnly="0" labelOnly="1" outline="0" fieldPosition="0">
        <references count="3">
          <reference field="3" count="1" selected="0">
            <x v="13"/>
          </reference>
          <reference field="4" count="1">
            <x v="0"/>
          </reference>
          <reference field="7" count="1" selected="0">
            <x v="2"/>
          </reference>
        </references>
      </pivotArea>
    </format>
    <format dxfId="2548">
      <pivotArea dataOnly="0" labelOnly="1" outline="0" fieldPosition="0">
        <references count="3">
          <reference field="3" count="1" selected="0">
            <x v="13"/>
          </reference>
          <reference field="4" count="1">
            <x v="0"/>
          </reference>
          <reference field="7" count="1" selected="0">
            <x v="3"/>
          </reference>
        </references>
      </pivotArea>
    </format>
    <format dxfId="2547">
      <pivotArea dataOnly="0" labelOnly="1" outline="0" fieldPosition="0">
        <references count="3">
          <reference field="3" count="1" selected="0">
            <x v="13"/>
          </reference>
          <reference field="4" count="1">
            <x v="0"/>
          </reference>
          <reference field="7" count="1" selected="0">
            <x v="4"/>
          </reference>
        </references>
      </pivotArea>
    </format>
    <format dxfId="2546">
      <pivotArea dataOnly="0" labelOnly="1" outline="0" fieldPosition="0">
        <references count="3">
          <reference field="3" count="1" selected="0">
            <x v="13"/>
          </reference>
          <reference field="4" count="1">
            <x v="0"/>
          </reference>
          <reference field="7" count="1" selected="0">
            <x v="6"/>
          </reference>
        </references>
      </pivotArea>
    </format>
    <format dxfId="2545">
      <pivotArea dataOnly="0" labelOnly="1" outline="0" fieldPosition="0">
        <references count="3">
          <reference field="3" count="1" selected="0">
            <x v="13"/>
          </reference>
          <reference field="4" count="1">
            <x v="0"/>
          </reference>
          <reference field="7" count="1" selected="0">
            <x v="7"/>
          </reference>
        </references>
      </pivotArea>
    </format>
    <format dxfId="2544">
      <pivotArea dataOnly="0" labelOnly="1" outline="0" fieldPosition="0">
        <references count="3">
          <reference field="3" count="1" selected="0">
            <x v="13"/>
          </reference>
          <reference field="4" count="1">
            <x v="0"/>
          </reference>
          <reference field="7" count="1" selected="0">
            <x v="17"/>
          </reference>
        </references>
      </pivotArea>
    </format>
    <format dxfId="2543">
      <pivotArea dataOnly="0" labelOnly="1" outline="0" fieldPosition="0">
        <references count="3">
          <reference field="3" count="1" selected="0">
            <x v="13"/>
          </reference>
          <reference field="4" count="1">
            <x v="0"/>
          </reference>
          <reference field="7" count="1" selected="0">
            <x v="18"/>
          </reference>
        </references>
      </pivotArea>
    </format>
    <format dxfId="2542">
      <pivotArea dataOnly="0" labelOnly="1" outline="0" fieldPosition="0">
        <references count="3">
          <reference field="3" count="1" selected="0">
            <x v="13"/>
          </reference>
          <reference field="4" count="1">
            <x v="0"/>
          </reference>
          <reference field="7" count="1" selected="0">
            <x v="19"/>
          </reference>
        </references>
      </pivotArea>
    </format>
    <format dxfId="2541">
      <pivotArea dataOnly="0" labelOnly="1" outline="0" fieldPosition="0">
        <references count="3">
          <reference field="3" count="1" selected="0">
            <x v="13"/>
          </reference>
          <reference field="4" count="1">
            <x v="0"/>
          </reference>
          <reference field="7" count="1" selected="0">
            <x v="24"/>
          </reference>
        </references>
      </pivotArea>
    </format>
    <format dxfId="2540">
      <pivotArea dataOnly="0" labelOnly="1" outline="0" fieldPosition="0">
        <references count="3">
          <reference field="3" count="1" selected="0">
            <x v="14"/>
          </reference>
          <reference field="4" count="1">
            <x v="1"/>
          </reference>
          <reference field="7" count="1" selected="0">
            <x v="0"/>
          </reference>
        </references>
      </pivotArea>
    </format>
    <format dxfId="2539">
      <pivotArea dataOnly="0" labelOnly="1" outline="0" fieldPosition="0">
        <references count="3">
          <reference field="3" count="1" selected="0">
            <x v="14"/>
          </reference>
          <reference field="4" count="1">
            <x v="1"/>
          </reference>
          <reference field="7" count="1" selected="0">
            <x v="6"/>
          </reference>
        </references>
      </pivotArea>
    </format>
    <format dxfId="2538">
      <pivotArea dataOnly="0" labelOnly="1" outline="0" fieldPosition="0">
        <references count="3">
          <reference field="3" count="1" selected="0">
            <x v="14"/>
          </reference>
          <reference field="4" count="1">
            <x v="1"/>
          </reference>
          <reference field="7" count="1" selected="0">
            <x v="9"/>
          </reference>
        </references>
      </pivotArea>
    </format>
    <format dxfId="2537">
      <pivotArea dataOnly="0" labelOnly="1" outline="0" fieldPosition="0">
        <references count="3">
          <reference field="3" count="1" selected="0">
            <x v="14"/>
          </reference>
          <reference field="4" count="1">
            <x v="1"/>
          </reference>
          <reference field="7" count="1" selected="0">
            <x v="12"/>
          </reference>
        </references>
      </pivotArea>
    </format>
    <format dxfId="2536">
      <pivotArea dataOnly="0" labelOnly="1" outline="0" fieldPosition="0">
        <references count="3">
          <reference field="3" count="1" selected="0">
            <x v="14"/>
          </reference>
          <reference field="4" count="1">
            <x v="1"/>
          </reference>
          <reference field="7" count="1" selected="0">
            <x v="13"/>
          </reference>
        </references>
      </pivotArea>
    </format>
    <format dxfId="2535">
      <pivotArea dataOnly="0" labelOnly="1" outline="0" fieldPosition="0">
        <references count="3">
          <reference field="3" count="1" selected="0">
            <x v="14"/>
          </reference>
          <reference field="4" count="1">
            <x v="1"/>
          </reference>
          <reference field="7" count="1" selected="0">
            <x v="18"/>
          </reference>
        </references>
      </pivotArea>
    </format>
    <format dxfId="2534">
      <pivotArea dataOnly="0" labelOnly="1" outline="0" fieldPosition="0">
        <references count="3">
          <reference field="3" count="1" selected="0">
            <x v="14"/>
          </reference>
          <reference field="4" count="1">
            <x v="1"/>
          </reference>
          <reference field="7" count="1" selected="0">
            <x v="23"/>
          </reference>
        </references>
      </pivotArea>
    </format>
    <format dxfId="2533">
      <pivotArea dataOnly="0" labelOnly="1" outline="0" fieldPosition="0">
        <references count="3">
          <reference field="3" count="1" selected="0">
            <x v="14"/>
          </reference>
          <reference field="4" count="1">
            <x v="1"/>
          </reference>
          <reference field="7" count="1" selected="0">
            <x v="25"/>
          </reference>
        </references>
      </pivotArea>
    </format>
    <format dxfId="2532">
      <pivotArea dataOnly="0" labelOnly="1" outline="0" fieldPosition="0">
        <references count="3">
          <reference field="3" count="1" selected="0">
            <x v="14"/>
          </reference>
          <reference field="4" count="1">
            <x v="1"/>
          </reference>
          <reference field="7" count="1" selected="0">
            <x v="26"/>
          </reference>
        </references>
      </pivotArea>
    </format>
    <format dxfId="2531">
      <pivotArea dataOnly="0" labelOnly="1" outline="0" fieldPosition="0">
        <references count="3">
          <reference field="3" count="1" selected="0">
            <x v="14"/>
          </reference>
          <reference field="4" count="1">
            <x v="1"/>
          </reference>
          <reference field="7" count="1" selected="0">
            <x v="28"/>
          </reference>
        </references>
      </pivotArea>
    </format>
    <format dxfId="2530">
      <pivotArea dataOnly="0" labelOnly="1" outline="0" fieldPosition="0">
        <references count="3">
          <reference field="3" count="1" selected="0">
            <x v="15"/>
          </reference>
          <reference field="4" count="1">
            <x v="3"/>
          </reference>
          <reference field="7" count="1" selected="0">
            <x v="1"/>
          </reference>
        </references>
      </pivotArea>
    </format>
    <format dxfId="2529">
      <pivotArea dataOnly="0" labelOnly="1" outline="0" fieldPosition="0">
        <references count="3">
          <reference field="3" count="1" selected="0">
            <x v="15"/>
          </reference>
          <reference field="4" count="1">
            <x v="3"/>
          </reference>
          <reference field="7" count="1" selected="0">
            <x v="2"/>
          </reference>
        </references>
      </pivotArea>
    </format>
    <format dxfId="2528">
      <pivotArea dataOnly="0" labelOnly="1" outline="0" fieldPosition="0">
        <references count="3">
          <reference field="3" count="1" selected="0">
            <x v="15"/>
          </reference>
          <reference field="4" count="1">
            <x v="3"/>
          </reference>
          <reference field="7" count="1" selected="0">
            <x v="3"/>
          </reference>
        </references>
      </pivotArea>
    </format>
    <format dxfId="2527">
      <pivotArea dataOnly="0" labelOnly="1" outline="0" fieldPosition="0">
        <references count="3">
          <reference field="3" count="1" selected="0">
            <x v="15"/>
          </reference>
          <reference field="4" count="1">
            <x v="3"/>
          </reference>
          <reference field="7" count="1" selected="0">
            <x v="4"/>
          </reference>
        </references>
      </pivotArea>
    </format>
    <format dxfId="2526">
      <pivotArea dataOnly="0" labelOnly="1" outline="0" fieldPosition="0">
        <references count="3">
          <reference field="3" count="1" selected="0">
            <x v="15"/>
          </reference>
          <reference field="4" count="1">
            <x v="3"/>
          </reference>
          <reference field="7" count="1" selected="0">
            <x v="10"/>
          </reference>
        </references>
      </pivotArea>
    </format>
    <format dxfId="2525">
      <pivotArea dataOnly="0" labelOnly="1" outline="0" fieldPosition="0">
        <references count="3">
          <reference field="3" count="1" selected="0">
            <x v="15"/>
          </reference>
          <reference field="4" count="1">
            <x v="3"/>
          </reference>
          <reference field="7" count="1" selected="0">
            <x v="14"/>
          </reference>
        </references>
      </pivotArea>
    </format>
    <format dxfId="2524">
      <pivotArea dataOnly="0" labelOnly="1" outline="0" fieldPosition="0">
        <references count="3">
          <reference field="3" count="1" selected="0">
            <x v="15"/>
          </reference>
          <reference field="4" count="1">
            <x v="3"/>
          </reference>
          <reference field="7" count="1" selected="0">
            <x v="17"/>
          </reference>
        </references>
      </pivotArea>
    </format>
    <format dxfId="2523">
      <pivotArea dataOnly="0" labelOnly="1" outline="0" fieldPosition="0">
        <references count="3">
          <reference field="3" count="1" selected="0">
            <x v="15"/>
          </reference>
          <reference field="4" count="1">
            <x v="3"/>
          </reference>
          <reference field="7" count="1" selected="0">
            <x v="19"/>
          </reference>
        </references>
      </pivotArea>
    </format>
    <format dxfId="2522">
      <pivotArea dataOnly="0" labelOnly="1" outline="0" fieldPosition="0">
        <references count="3">
          <reference field="3" count="1" selected="0">
            <x v="15"/>
          </reference>
          <reference field="4" count="1">
            <x v="3"/>
          </reference>
          <reference field="7" count="1" selected="0">
            <x v="22"/>
          </reference>
        </references>
      </pivotArea>
    </format>
    <format dxfId="2521">
      <pivotArea dataOnly="0" labelOnly="1" outline="0" fieldPosition="0">
        <references count="3">
          <reference field="3" count="1" selected="0">
            <x v="15"/>
          </reference>
          <reference field="4" count="1">
            <x v="3"/>
          </reference>
          <reference field="7" count="1" selected="0">
            <x v="23"/>
          </reference>
        </references>
      </pivotArea>
    </format>
    <format dxfId="2520">
      <pivotArea dataOnly="0" labelOnly="1" outline="0" fieldPosition="0">
        <references count="3">
          <reference field="3" count="1" selected="0">
            <x v="15"/>
          </reference>
          <reference field="4" count="1">
            <x v="3"/>
          </reference>
          <reference field="7" count="1" selected="0">
            <x v="24"/>
          </reference>
        </references>
      </pivotArea>
    </format>
    <format dxfId="2519">
      <pivotArea dataOnly="0" labelOnly="1" outline="0" fieldPosition="0">
        <references count="3">
          <reference field="3" count="1" selected="0">
            <x v="15"/>
          </reference>
          <reference field="4" count="1">
            <x v="3"/>
          </reference>
          <reference field="7" count="1" selected="0">
            <x v="26"/>
          </reference>
        </references>
      </pivotArea>
    </format>
    <format dxfId="2518">
      <pivotArea dataOnly="0" labelOnly="1" outline="0" fieldPosition="0">
        <references count="3">
          <reference field="3" count="1" selected="0">
            <x v="15"/>
          </reference>
          <reference field="4" count="1">
            <x v="3"/>
          </reference>
          <reference field="7" count="1" selected="0">
            <x v="27"/>
          </reference>
        </references>
      </pivotArea>
    </format>
    <format dxfId="2517">
      <pivotArea dataOnly="0" labelOnly="1" outline="0" fieldPosition="0">
        <references count="3">
          <reference field="3" count="1" selected="0">
            <x v="15"/>
          </reference>
          <reference field="4" count="1">
            <x v="3"/>
          </reference>
          <reference field="7" count="1" selected="0">
            <x v="28"/>
          </reference>
        </references>
      </pivotArea>
    </format>
    <format dxfId="2516">
      <pivotArea dataOnly="0" labelOnly="1" outline="0" fieldPosition="0">
        <references count="3">
          <reference field="3" count="1" selected="0">
            <x v="15"/>
          </reference>
          <reference field="4" count="1">
            <x v="3"/>
          </reference>
          <reference field="7" count="1" selected="0">
            <x v="29"/>
          </reference>
        </references>
      </pivotArea>
    </format>
    <format dxfId="2515">
      <pivotArea dataOnly="0" labelOnly="1" outline="0" fieldPosition="0">
        <references count="3">
          <reference field="3" count="1" selected="0">
            <x v="16"/>
          </reference>
          <reference field="4" count="1">
            <x v="1"/>
          </reference>
          <reference field="7" count="1" selected="0">
            <x v="0"/>
          </reference>
        </references>
      </pivotArea>
    </format>
    <format dxfId="2514">
      <pivotArea dataOnly="0" labelOnly="1" outline="0" fieldPosition="0">
        <references count="3">
          <reference field="3" count="1" selected="0">
            <x v="16"/>
          </reference>
          <reference field="4" count="1">
            <x v="1"/>
          </reference>
          <reference field="7" count="1" selected="0">
            <x v="1"/>
          </reference>
        </references>
      </pivotArea>
    </format>
    <format dxfId="2513">
      <pivotArea dataOnly="0" labelOnly="1" outline="0" fieldPosition="0">
        <references count="3">
          <reference field="3" count="1" selected="0">
            <x v="16"/>
          </reference>
          <reference field="4" count="1">
            <x v="1"/>
          </reference>
          <reference field="7" count="1" selected="0">
            <x v="2"/>
          </reference>
        </references>
      </pivotArea>
    </format>
    <format dxfId="2512">
      <pivotArea dataOnly="0" labelOnly="1" outline="0" fieldPosition="0">
        <references count="3">
          <reference field="3" count="1" selected="0">
            <x v="16"/>
          </reference>
          <reference field="4" count="1">
            <x v="1"/>
          </reference>
          <reference field="7" count="1" selected="0">
            <x v="10"/>
          </reference>
        </references>
      </pivotArea>
    </format>
    <format dxfId="2511">
      <pivotArea dataOnly="0" labelOnly="1" outline="0" fieldPosition="0">
        <references count="3">
          <reference field="3" count="1" selected="0">
            <x v="16"/>
          </reference>
          <reference field="4" count="1">
            <x v="1"/>
          </reference>
          <reference field="7" count="1" selected="0">
            <x v="11"/>
          </reference>
        </references>
      </pivotArea>
    </format>
    <format dxfId="2510">
      <pivotArea dataOnly="0" labelOnly="1" outline="0" fieldPosition="0">
        <references count="3">
          <reference field="3" count="1" selected="0">
            <x v="16"/>
          </reference>
          <reference field="4" count="1">
            <x v="1"/>
          </reference>
          <reference field="7" count="1" selected="0">
            <x v="16"/>
          </reference>
        </references>
      </pivotArea>
    </format>
    <format dxfId="2509">
      <pivotArea dataOnly="0" labelOnly="1" outline="0" fieldPosition="0">
        <references count="3">
          <reference field="3" count="1" selected="0">
            <x v="16"/>
          </reference>
          <reference field="4" count="1">
            <x v="1"/>
          </reference>
          <reference field="7" count="1" selected="0">
            <x v="17"/>
          </reference>
        </references>
      </pivotArea>
    </format>
    <format dxfId="2508">
      <pivotArea dataOnly="0" labelOnly="1" outline="0" fieldPosition="0">
        <references count="3">
          <reference field="3" count="1" selected="0">
            <x v="16"/>
          </reference>
          <reference field="4" count="1">
            <x v="1"/>
          </reference>
          <reference field="7" count="1" selected="0">
            <x v="18"/>
          </reference>
        </references>
      </pivotArea>
    </format>
    <format dxfId="2507">
      <pivotArea dataOnly="0" labelOnly="1" outline="0" fieldPosition="0">
        <references count="3">
          <reference field="3" count="1" selected="0">
            <x v="16"/>
          </reference>
          <reference field="4" count="1">
            <x v="1"/>
          </reference>
          <reference field="7" count="1" selected="0">
            <x v="27"/>
          </reference>
        </references>
      </pivotArea>
    </format>
    <format dxfId="2506">
      <pivotArea dataOnly="0" labelOnly="1" outline="0" fieldPosition="0">
        <references count="3">
          <reference field="3" count="1" selected="0">
            <x v="16"/>
          </reference>
          <reference field="4" count="1">
            <x v="1"/>
          </reference>
          <reference field="7" count="1" selected="0">
            <x v="29"/>
          </reference>
        </references>
      </pivotArea>
    </format>
    <format dxfId="2505">
      <pivotArea dataOnly="0" labelOnly="1" outline="0" fieldPosition="0">
        <references count="3">
          <reference field="3" count="1" selected="0">
            <x v="17"/>
          </reference>
          <reference field="4" count="1">
            <x v="3"/>
          </reference>
          <reference field="7" count="1" selected="0">
            <x v="5"/>
          </reference>
        </references>
      </pivotArea>
    </format>
    <format dxfId="2504">
      <pivotArea dataOnly="0" labelOnly="1" outline="0" fieldPosition="0">
        <references count="3">
          <reference field="3" count="1" selected="0">
            <x v="17"/>
          </reference>
          <reference field="4" count="1">
            <x v="3"/>
          </reference>
          <reference field="7" count="1" selected="0">
            <x v="10"/>
          </reference>
        </references>
      </pivotArea>
    </format>
    <format dxfId="2503">
      <pivotArea dataOnly="0" labelOnly="1" outline="0" fieldPosition="0">
        <references count="3">
          <reference field="3" count="1" selected="0">
            <x v="17"/>
          </reference>
          <reference field="4" count="1">
            <x v="3"/>
          </reference>
          <reference field="7" count="1" selected="0">
            <x v="11"/>
          </reference>
        </references>
      </pivotArea>
    </format>
    <format dxfId="2502">
      <pivotArea dataOnly="0" labelOnly="1" outline="0" fieldPosition="0">
        <references count="3">
          <reference field="3" count="1" selected="0">
            <x v="17"/>
          </reference>
          <reference field="4" count="1">
            <x v="3"/>
          </reference>
          <reference field="7" count="1" selected="0">
            <x v="13"/>
          </reference>
        </references>
      </pivotArea>
    </format>
    <format dxfId="2501">
      <pivotArea dataOnly="0" labelOnly="1" outline="0" fieldPosition="0">
        <references count="3">
          <reference field="3" count="1" selected="0">
            <x v="17"/>
          </reference>
          <reference field="4" count="1">
            <x v="3"/>
          </reference>
          <reference field="7" count="1" selected="0">
            <x v="14"/>
          </reference>
        </references>
      </pivotArea>
    </format>
    <format dxfId="2500">
      <pivotArea dataOnly="0" labelOnly="1" outline="0" fieldPosition="0">
        <references count="3">
          <reference field="3" count="1" selected="0">
            <x v="17"/>
          </reference>
          <reference field="4" count="1">
            <x v="3"/>
          </reference>
          <reference field="7" count="1" selected="0">
            <x v="15"/>
          </reference>
        </references>
      </pivotArea>
    </format>
    <format dxfId="2499">
      <pivotArea dataOnly="0" labelOnly="1" outline="0" fieldPosition="0">
        <references count="3">
          <reference field="3" count="1" selected="0">
            <x v="17"/>
          </reference>
          <reference field="4" count="1">
            <x v="3"/>
          </reference>
          <reference field="7" count="1" selected="0">
            <x v="17"/>
          </reference>
        </references>
      </pivotArea>
    </format>
    <format dxfId="2498">
      <pivotArea dataOnly="0" labelOnly="1" outline="0" fieldPosition="0">
        <references count="3">
          <reference field="3" count="1" selected="0">
            <x v="17"/>
          </reference>
          <reference field="4" count="1">
            <x v="3"/>
          </reference>
          <reference field="7" count="1" selected="0">
            <x v="19"/>
          </reference>
        </references>
      </pivotArea>
    </format>
    <format dxfId="2497">
      <pivotArea dataOnly="0" labelOnly="1" outline="0" fieldPosition="0">
        <references count="3">
          <reference field="3" count="1" selected="0">
            <x v="17"/>
          </reference>
          <reference field="4" count="1">
            <x v="3"/>
          </reference>
          <reference field="7" count="1" selected="0">
            <x v="24"/>
          </reference>
        </references>
      </pivotArea>
    </format>
    <format dxfId="2496">
      <pivotArea dataOnly="0" labelOnly="1" outline="0" fieldPosition="0">
        <references count="3">
          <reference field="3" count="1" selected="0">
            <x v="18"/>
          </reference>
          <reference field="4" count="1">
            <x v="1"/>
          </reference>
          <reference field="7" count="1" selected="0">
            <x v="1"/>
          </reference>
        </references>
      </pivotArea>
    </format>
    <format dxfId="2495">
      <pivotArea dataOnly="0" labelOnly="1" outline="0" fieldPosition="0">
        <references count="3">
          <reference field="3" count="1" selected="0">
            <x v="18"/>
          </reference>
          <reference field="4" count="1">
            <x v="1"/>
          </reference>
          <reference field="7" count="1" selected="0">
            <x v="5"/>
          </reference>
        </references>
      </pivotArea>
    </format>
    <format dxfId="2494">
      <pivotArea dataOnly="0" labelOnly="1" outline="0" fieldPosition="0">
        <references count="3">
          <reference field="3" count="1" selected="0">
            <x v="18"/>
          </reference>
          <reference field="4" count="1">
            <x v="1"/>
          </reference>
          <reference field="7" count="1" selected="0">
            <x v="8"/>
          </reference>
        </references>
      </pivotArea>
    </format>
    <format dxfId="2493">
      <pivotArea dataOnly="0" labelOnly="1" outline="0" fieldPosition="0">
        <references count="3">
          <reference field="3" count="1" selected="0">
            <x v="18"/>
          </reference>
          <reference field="4" count="1">
            <x v="1"/>
          </reference>
          <reference field="7" count="1" selected="0">
            <x v="9"/>
          </reference>
        </references>
      </pivotArea>
    </format>
    <format dxfId="2492">
      <pivotArea dataOnly="0" labelOnly="1" outline="0" fieldPosition="0">
        <references count="3">
          <reference field="3" count="1" selected="0">
            <x v="18"/>
          </reference>
          <reference field="4" count="1">
            <x v="1"/>
          </reference>
          <reference field="7" count="1" selected="0">
            <x v="14"/>
          </reference>
        </references>
      </pivotArea>
    </format>
    <format dxfId="2491">
      <pivotArea dataOnly="0" labelOnly="1" outline="0" fieldPosition="0">
        <references count="3">
          <reference field="3" count="1" selected="0">
            <x v="18"/>
          </reference>
          <reference field="4" count="1">
            <x v="1"/>
          </reference>
          <reference field="7" count="1" selected="0">
            <x v="15"/>
          </reference>
        </references>
      </pivotArea>
    </format>
    <format dxfId="2490">
      <pivotArea dataOnly="0" labelOnly="1" outline="0" fieldPosition="0">
        <references count="3">
          <reference field="3" count="1" selected="0">
            <x v="18"/>
          </reference>
          <reference field="4" count="1">
            <x v="1"/>
          </reference>
          <reference field="7" count="1" selected="0">
            <x v="18"/>
          </reference>
        </references>
      </pivotArea>
    </format>
    <format dxfId="2489">
      <pivotArea dataOnly="0" labelOnly="1" outline="0" fieldPosition="0">
        <references count="3">
          <reference field="3" count="1" selected="0">
            <x v="18"/>
          </reference>
          <reference field="4" count="1">
            <x v="1"/>
          </reference>
          <reference field="7" count="1" selected="0">
            <x v="19"/>
          </reference>
        </references>
      </pivotArea>
    </format>
    <format dxfId="2488">
      <pivotArea dataOnly="0" labelOnly="1" outline="0" fieldPosition="0">
        <references count="3">
          <reference field="3" count="1" selected="0">
            <x v="18"/>
          </reference>
          <reference field="4" count="1">
            <x v="1"/>
          </reference>
          <reference field="7" count="1" selected="0">
            <x v="21"/>
          </reference>
        </references>
      </pivotArea>
    </format>
    <format dxfId="2487">
      <pivotArea dataOnly="0" labelOnly="1" outline="0" fieldPosition="0">
        <references count="3">
          <reference field="3" count="1" selected="0">
            <x v="18"/>
          </reference>
          <reference field="4" count="1">
            <x v="1"/>
          </reference>
          <reference field="7" count="1" selected="0">
            <x v="23"/>
          </reference>
        </references>
      </pivotArea>
    </format>
    <format dxfId="2486">
      <pivotArea dataOnly="0" labelOnly="1" outline="0" fieldPosition="0">
        <references count="3">
          <reference field="3" count="1" selected="0">
            <x v="18"/>
          </reference>
          <reference field="4" count="1">
            <x v="1"/>
          </reference>
          <reference field="7" count="1" selected="0">
            <x v="24"/>
          </reference>
        </references>
      </pivotArea>
    </format>
    <format dxfId="2485">
      <pivotArea dataOnly="0" labelOnly="1" outline="0" fieldPosition="0">
        <references count="3">
          <reference field="3" count="1" selected="0">
            <x v="18"/>
          </reference>
          <reference field="4" count="1">
            <x v="1"/>
          </reference>
          <reference field="7" count="1" selected="0">
            <x v="25"/>
          </reference>
        </references>
      </pivotArea>
    </format>
    <format dxfId="2484">
      <pivotArea dataOnly="0" labelOnly="1" outline="0" fieldPosition="0">
        <references count="3">
          <reference field="3" count="1" selected="0">
            <x v="19"/>
          </reference>
          <reference field="4" count="1">
            <x v="0"/>
          </reference>
          <reference field="7" count="1" selected="0">
            <x v="1"/>
          </reference>
        </references>
      </pivotArea>
    </format>
    <format dxfId="2483">
      <pivotArea dataOnly="0" labelOnly="1" outline="0" fieldPosition="0">
        <references count="3">
          <reference field="3" count="1" selected="0">
            <x v="19"/>
          </reference>
          <reference field="4" count="1">
            <x v="0"/>
          </reference>
          <reference field="7" count="1" selected="0">
            <x v="2"/>
          </reference>
        </references>
      </pivotArea>
    </format>
    <format dxfId="2482">
      <pivotArea dataOnly="0" labelOnly="1" outline="0" fieldPosition="0">
        <references count="3">
          <reference field="3" count="1" selected="0">
            <x v="19"/>
          </reference>
          <reference field="4" count="1">
            <x v="0"/>
          </reference>
          <reference field="7" count="1" selected="0">
            <x v="3"/>
          </reference>
        </references>
      </pivotArea>
    </format>
    <format dxfId="2481">
      <pivotArea dataOnly="0" labelOnly="1" outline="0" fieldPosition="0">
        <references count="3">
          <reference field="3" count="1" selected="0">
            <x v="19"/>
          </reference>
          <reference field="4" count="1">
            <x v="0"/>
          </reference>
          <reference field="7" count="1" selected="0">
            <x v="9"/>
          </reference>
        </references>
      </pivotArea>
    </format>
    <format dxfId="2480">
      <pivotArea dataOnly="0" labelOnly="1" outline="0" fieldPosition="0">
        <references count="3">
          <reference field="3" count="1" selected="0">
            <x v="19"/>
          </reference>
          <reference field="4" count="1">
            <x v="0"/>
          </reference>
          <reference field="7" count="1" selected="0">
            <x v="20"/>
          </reference>
        </references>
      </pivotArea>
    </format>
    <format dxfId="2479">
      <pivotArea dataOnly="0" labelOnly="1" outline="0" fieldPosition="0">
        <references count="3">
          <reference field="3" count="1" selected="0">
            <x v="19"/>
          </reference>
          <reference field="4" count="1">
            <x v="0"/>
          </reference>
          <reference field="7" count="1" selected="0">
            <x v="22"/>
          </reference>
        </references>
      </pivotArea>
    </format>
    <format dxfId="2478">
      <pivotArea dataOnly="0" labelOnly="1" outline="0" fieldPosition="0">
        <references count="3">
          <reference field="3" count="1" selected="0">
            <x v="19"/>
          </reference>
          <reference field="4" count="1">
            <x v="0"/>
          </reference>
          <reference field="7" count="1" selected="0">
            <x v="23"/>
          </reference>
        </references>
      </pivotArea>
    </format>
    <format dxfId="2477">
      <pivotArea dataOnly="0" labelOnly="1" outline="0" fieldPosition="0">
        <references count="3">
          <reference field="3" count="1" selected="0">
            <x v="19"/>
          </reference>
          <reference field="4" count="1">
            <x v="0"/>
          </reference>
          <reference field="7" count="1" selected="0">
            <x v="28"/>
          </reference>
        </references>
      </pivotArea>
    </format>
    <format dxfId="2476">
      <pivotArea dataOnly="0" labelOnly="1" outline="0" fieldPosition="0">
        <references count="3">
          <reference field="3" count="1" selected="0">
            <x v="20"/>
          </reference>
          <reference field="4" count="1">
            <x v="0"/>
          </reference>
          <reference field="7" count="1" selected="0">
            <x v="0"/>
          </reference>
        </references>
      </pivotArea>
    </format>
    <format dxfId="2475">
      <pivotArea dataOnly="0" labelOnly="1" outline="0" fieldPosition="0">
        <references count="3">
          <reference field="3" count="1" selected="0">
            <x v="20"/>
          </reference>
          <reference field="4" count="1">
            <x v="0"/>
          </reference>
          <reference field="7" count="1" selected="0">
            <x v="4"/>
          </reference>
        </references>
      </pivotArea>
    </format>
    <format dxfId="2474">
      <pivotArea dataOnly="0" labelOnly="1" outline="0" fieldPosition="0">
        <references count="3">
          <reference field="3" count="1" selected="0">
            <x v="20"/>
          </reference>
          <reference field="4" count="1">
            <x v="0"/>
          </reference>
          <reference field="7" count="1" selected="0">
            <x v="8"/>
          </reference>
        </references>
      </pivotArea>
    </format>
    <format dxfId="2473">
      <pivotArea dataOnly="0" labelOnly="1" outline="0" fieldPosition="0">
        <references count="3">
          <reference field="3" count="1" selected="0">
            <x v="20"/>
          </reference>
          <reference field="4" count="1">
            <x v="0"/>
          </reference>
          <reference field="7" count="1" selected="0">
            <x v="13"/>
          </reference>
        </references>
      </pivotArea>
    </format>
    <format dxfId="2472">
      <pivotArea dataOnly="0" labelOnly="1" outline="0" fieldPosition="0">
        <references count="3">
          <reference field="3" count="1" selected="0">
            <x v="20"/>
          </reference>
          <reference field="4" count="1">
            <x v="0"/>
          </reference>
          <reference field="7" count="1" selected="0">
            <x v="14"/>
          </reference>
        </references>
      </pivotArea>
    </format>
    <format dxfId="2471">
      <pivotArea dataOnly="0" labelOnly="1" outline="0" fieldPosition="0">
        <references count="3">
          <reference field="3" count="1" selected="0">
            <x v="20"/>
          </reference>
          <reference field="4" count="1">
            <x v="0"/>
          </reference>
          <reference field="7" count="1" selected="0">
            <x v="15"/>
          </reference>
        </references>
      </pivotArea>
    </format>
    <format dxfId="2470">
      <pivotArea dataOnly="0" labelOnly="1" outline="0" fieldPosition="0">
        <references count="3">
          <reference field="3" count="1" selected="0">
            <x v="20"/>
          </reference>
          <reference field="4" count="1">
            <x v="0"/>
          </reference>
          <reference field="7" count="1" selected="0">
            <x v="17"/>
          </reference>
        </references>
      </pivotArea>
    </format>
    <format dxfId="2469">
      <pivotArea dataOnly="0" labelOnly="1" outline="0" fieldPosition="0">
        <references count="3">
          <reference field="3" count="1" selected="0">
            <x v="20"/>
          </reference>
          <reference field="4" count="1">
            <x v="0"/>
          </reference>
          <reference field="7" count="1" selected="0">
            <x v="18"/>
          </reference>
        </references>
      </pivotArea>
    </format>
    <format dxfId="2468">
      <pivotArea dataOnly="0" labelOnly="1" outline="0" fieldPosition="0">
        <references count="3">
          <reference field="3" count="1" selected="0">
            <x v="20"/>
          </reference>
          <reference field="4" count="1">
            <x v="0"/>
          </reference>
          <reference field="7" count="1" selected="0">
            <x v="19"/>
          </reference>
        </references>
      </pivotArea>
    </format>
    <format dxfId="2467">
      <pivotArea dataOnly="0" labelOnly="1" outline="0" fieldPosition="0">
        <references count="3">
          <reference field="3" count="1" selected="0">
            <x v="20"/>
          </reference>
          <reference field="4" count="1">
            <x v="0"/>
          </reference>
          <reference field="7" count="1" selected="0">
            <x v="20"/>
          </reference>
        </references>
      </pivotArea>
    </format>
    <format dxfId="2466">
      <pivotArea dataOnly="0" labelOnly="1" outline="0" fieldPosition="0">
        <references count="3">
          <reference field="3" count="1" selected="0">
            <x v="20"/>
          </reference>
          <reference field="4" count="1">
            <x v="0"/>
          </reference>
          <reference field="7" count="1" selected="0">
            <x v="24"/>
          </reference>
        </references>
      </pivotArea>
    </format>
    <format dxfId="2465">
      <pivotArea dataOnly="0" labelOnly="1" outline="0" fieldPosition="0">
        <references count="3">
          <reference field="3" count="1" selected="0">
            <x v="20"/>
          </reference>
          <reference field="4" count="1">
            <x v="0"/>
          </reference>
          <reference field="7" count="1" selected="0">
            <x v="25"/>
          </reference>
        </references>
      </pivotArea>
    </format>
    <format dxfId="2464">
      <pivotArea dataOnly="0" labelOnly="1" outline="0" fieldPosition="0">
        <references count="3">
          <reference field="3" count="1" selected="0">
            <x v="20"/>
          </reference>
          <reference field="4" count="1">
            <x v="0"/>
          </reference>
          <reference field="7" count="1" selected="0">
            <x v="26"/>
          </reference>
        </references>
      </pivotArea>
    </format>
    <format dxfId="2463">
      <pivotArea dataOnly="0" labelOnly="1" outline="0" fieldPosition="0">
        <references count="3">
          <reference field="3" count="1" selected="0">
            <x v="21"/>
          </reference>
          <reference field="4" count="1">
            <x v="2"/>
          </reference>
          <reference field="7" count="1" selected="0">
            <x v="0"/>
          </reference>
        </references>
      </pivotArea>
    </format>
    <format dxfId="2462">
      <pivotArea dataOnly="0" labelOnly="1" outline="0" fieldPosition="0">
        <references count="3">
          <reference field="3" count="1" selected="0">
            <x v="21"/>
          </reference>
          <reference field="4" count="1">
            <x v="2"/>
          </reference>
          <reference field="7" count="1" selected="0">
            <x v="4"/>
          </reference>
        </references>
      </pivotArea>
    </format>
    <format dxfId="2461">
      <pivotArea dataOnly="0" labelOnly="1" outline="0" fieldPosition="0">
        <references count="3">
          <reference field="3" count="1" selected="0">
            <x v="21"/>
          </reference>
          <reference field="4" count="1">
            <x v="2"/>
          </reference>
          <reference field="7" count="1" selected="0">
            <x v="6"/>
          </reference>
        </references>
      </pivotArea>
    </format>
    <format dxfId="2460">
      <pivotArea dataOnly="0" labelOnly="1" outline="0" fieldPosition="0">
        <references count="3">
          <reference field="3" count="1" selected="0">
            <x v="21"/>
          </reference>
          <reference field="4" count="1">
            <x v="2"/>
          </reference>
          <reference field="7" count="1" selected="0">
            <x v="9"/>
          </reference>
        </references>
      </pivotArea>
    </format>
    <format dxfId="2459">
      <pivotArea dataOnly="0" labelOnly="1" outline="0" fieldPosition="0">
        <references count="3">
          <reference field="3" count="1" selected="0">
            <x v="21"/>
          </reference>
          <reference field="4" count="1">
            <x v="2"/>
          </reference>
          <reference field="7" count="1" selected="0">
            <x v="10"/>
          </reference>
        </references>
      </pivotArea>
    </format>
    <format dxfId="2458">
      <pivotArea dataOnly="0" labelOnly="1" outline="0" fieldPosition="0">
        <references count="3">
          <reference field="3" count="1" selected="0">
            <x v="21"/>
          </reference>
          <reference field="4" count="1">
            <x v="2"/>
          </reference>
          <reference field="7" count="1" selected="0">
            <x v="11"/>
          </reference>
        </references>
      </pivotArea>
    </format>
    <format dxfId="2457">
      <pivotArea dataOnly="0" labelOnly="1" outline="0" fieldPosition="0">
        <references count="3">
          <reference field="3" count="1" selected="0">
            <x v="21"/>
          </reference>
          <reference field="4" count="1">
            <x v="2"/>
          </reference>
          <reference field="7" count="1" selected="0">
            <x v="12"/>
          </reference>
        </references>
      </pivotArea>
    </format>
    <format dxfId="2456">
      <pivotArea dataOnly="0" labelOnly="1" outline="0" fieldPosition="0">
        <references count="3">
          <reference field="3" count="1" selected="0">
            <x v="21"/>
          </reference>
          <reference field="4" count="1">
            <x v="2"/>
          </reference>
          <reference field="7" count="1" selected="0">
            <x v="13"/>
          </reference>
        </references>
      </pivotArea>
    </format>
    <format dxfId="2455">
      <pivotArea dataOnly="0" labelOnly="1" outline="0" fieldPosition="0">
        <references count="3">
          <reference field="3" count="1" selected="0">
            <x v="21"/>
          </reference>
          <reference field="4" count="1">
            <x v="2"/>
          </reference>
          <reference field="7" count="1" selected="0">
            <x v="16"/>
          </reference>
        </references>
      </pivotArea>
    </format>
    <format dxfId="2454">
      <pivotArea dataOnly="0" labelOnly="1" outline="0" fieldPosition="0">
        <references count="3">
          <reference field="3" count="1" selected="0">
            <x v="21"/>
          </reference>
          <reference field="4" count="1">
            <x v="2"/>
          </reference>
          <reference field="7" count="1" selected="0">
            <x v="22"/>
          </reference>
        </references>
      </pivotArea>
    </format>
    <format dxfId="2453">
      <pivotArea dataOnly="0" labelOnly="1" outline="0" fieldPosition="0">
        <references count="3">
          <reference field="3" count="1" selected="0">
            <x v="21"/>
          </reference>
          <reference field="4" count="1">
            <x v="2"/>
          </reference>
          <reference field="7" count="1" selected="0">
            <x v="28"/>
          </reference>
        </references>
      </pivotArea>
    </format>
    <format dxfId="2452">
      <pivotArea dataOnly="0" labelOnly="1" outline="0" fieldPosition="0">
        <references count="3">
          <reference field="3" count="1" selected="0">
            <x v="22"/>
          </reference>
          <reference field="4" count="1">
            <x v="1"/>
          </reference>
          <reference field="7" count="1" selected="0">
            <x v="7"/>
          </reference>
        </references>
      </pivotArea>
    </format>
    <format dxfId="2451">
      <pivotArea dataOnly="0" labelOnly="1" outline="0" fieldPosition="0">
        <references count="3">
          <reference field="3" count="1" selected="0">
            <x v="22"/>
          </reference>
          <reference field="4" count="1">
            <x v="1"/>
          </reference>
          <reference field="7" count="1" selected="0">
            <x v="8"/>
          </reference>
        </references>
      </pivotArea>
    </format>
    <format dxfId="2450">
      <pivotArea dataOnly="0" labelOnly="1" outline="0" fieldPosition="0">
        <references count="3">
          <reference field="3" count="1" selected="0">
            <x v="22"/>
          </reference>
          <reference field="4" count="1">
            <x v="1"/>
          </reference>
          <reference field="7" count="1" selected="0">
            <x v="11"/>
          </reference>
        </references>
      </pivotArea>
    </format>
    <format dxfId="2449">
      <pivotArea dataOnly="0" labelOnly="1" outline="0" fieldPosition="0">
        <references count="3">
          <reference field="3" count="1" selected="0">
            <x v="22"/>
          </reference>
          <reference field="4" count="1">
            <x v="1"/>
          </reference>
          <reference field="7" count="1" selected="0">
            <x v="16"/>
          </reference>
        </references>
      </pivotArea>
    </format>
    <format dxfId="2448">
      <pivotArea dataOnly="0" labelOnly="1" outline="0" fieldPosition="0">
        <references count="3">
          <reference field="3" count="1" selected="0">
            <x v="22"/>
          </reference>
          <reference field="4" count="1">
            <x v="1"/>
          </reference>
          <reference field="7" count="1" selected="0">
            <x v="17"/>
          </reference>
        </references>
      </pivotArea>
    </format>
    <format dxfId="2447">
      <pivotArea dataOnly="0" labelOnly="1" outline="0" fieldPosition="0">
        <references count="3">
          <reference field="3" count="1" selected="0">
            <x v="22"/>
          </reference>
          <reference field="4" count="1">
            <x v="1"/>
          </reference>
          <reference field="7" count="1" selected="0">
            <x v="21"/>
          </reference>
        </references>
      </pivotArea>
    </format>
    <format dxfId="2446">
      <pivotArea dataOnly="0" labelOnly="1" outline="0" fieldPosition="0">
        <references count="3">
          <reference field="3" count="1" selected="0">
            <x v="22"/>
          </reference>
          <reference field="4" count="1">
            <x v="1"/>
          </reference>
          <reference field="7" count="1" selected="0">
            <x v="22"/>
          </reference>
        </references>
      </pivotArea>
    </format>
    <format dxfId="2445">
      <pivotArea dataOnly="0" labelOnly="1" outline="0" fieldPosition="0">
        <references count="3">
          <reference field="3" count="1" selected="0">
            <x v="22"/>
          </reference>
          <reference field="4" count="1">
            <x v="1"/>
          </reference>
          <reference field="7" count="1" selected="0">
            <x v="25"/>
          </reference>
        </references>
      </pivotArea>
    </format>
    <format dxfId="2444">
      <pivotArea dataOnly="0" labelOnly="1" outline="0" fieldPosition="0">
        <references count="3">
          <reference field="3" count="1" selected="0">
            <x v="23"/>
          </reference>
          <reference field="4" count="1">
            <x v="1"/>
          </reference>
          <reference field="7" count="1" selected="0">
            <x v="2"/>
          </reference>
        </references>
      </pivotArea>
    </format>
    <format dxfId="2443">
      <pivotArea dataOnly="0" labelOnly="1" outline="0" fieldPosition="0">
        <references count="3">
          <reference field="3" count="1" selected="0">
            <x v="23"/>
          </reference>
          <reference field="4" count="1">
            <x v="1"/>
          </reference>
          <reference field="7" count="1" selected="0">
            <x v="3"/>
          </reference>
        </references>
      </pivotArea>
    </format>
    <format dxfId="2442">
      <pivotArea dataOnly="0" labelOnly="1" outline="0" fieldPosition="0">
        <references count="3">
          <reference field="3" count="1" selected="0">
            <x v="23"/>
          </reference>
          <reference field="4" count="1">
            <x v="1"/>
          </reference>
          <reference field="7" count="1" selected="0">
            <x v="6"/>
          </reference>
        </references>
      </pivotArea>
    </format>
    <format dxfId="2441">
      <pivotArea dataOnly="0" labelOnly="1" outline="0" fieldPosition="0">
        <references count="3">
          <reference field="3" count="1" selected="0">
            <x v="23"/>
          </reference>
          <reference field="4" count="1">
            <x v="1"/>
          </reference>
          <reference field="7" count="1" selected="0">
            <x v="10"/>
          </reference>
        </references>
      </pivotArea>
    </format>
    <format dxfId="2440">
      <pivotArea dataOnly="0" labelOnly="1" outline="0" fieldPosition="0">
        <references count="3">
          <reference field="3" count="1" selected="0">
            <x v="23"/>
          </reference>
          <reference field="4" count="1">
            <x v="1"/>
          </reference>
          <reference field="7" count="1" selected="0">
            <x v="11"/>
          </reference>
        </references>
      </pivotArea>
    </format>
    <format dxfId="2439">
      <pivotArea dataOnly="0" labelOnly="1" outline="0" fieldPosition="0">
        <references count="3">
          <reference field="3" count="1" selected="0">
            <x v="23"/>
          </reference>
          <reference field="4" count="1">
            <x v="1"/>
          </reference>
          <reference field="7" count="1" selected="0">
            <x v="13"/>
          </reference>
        </references>
      </pivotArea>
    </format>
    <format dxfId="2438">
      <pivotArea dataOnly="0" labelOnly="1" outline="0" fieldPosition="0">
        <references count="3">
          <reference field="3" count="1" selected="0">
            <x v="23"/>
          </reference>
          <reference field="4" count="1">
            <x v="1"/>
          </reference>
          <reference field="7" count="1" selected="0">
            <x v="19"/>
          </reference>
        </references>
      </pivotArea>
    </format>
    <format dxfId="2437">
      <pivotArea dataOnly="0" labelOnly="1" outline="0" fieldPosition="0">
        <references count="3">
          <reference field="3" count="1" selected="0">
            <x v="23"/>
          </reference>
          <reference field="4" count="1">
            <x v="1"/>
          </reference>
          <reference field="7" count="1" selected="0">
            <x v="20"/>
          </reference>
        </references>
      </pivotArea>
    </format>
    <format dxfId="2436">
      <pivotArea dataOnly="0" labelOnly="1" outline="0" fieldPosition="0">
        <references count="3">
          <reference field="3" count="1" selected="0">
            <x v="23"/>
          </reference>
          <reference field="4" count="1">
            <x v="1"/>
          </reference>
          <reference field="7" count="1" selected="0">
            <x v="21"/>
          </reference>
        </references>
      </pivotArea>
    </format>
    <format dxfId="2435">
      <pivotArea dataOnly="0" labelOnly="1" outline="0" fieldPosition="0">
        <references count="3">
          <reference field="3" count="1" selected="0">
            <x v="23"/>
          </reference>
          <reference field="4" count="1">
            <x v="1"/>
          </reference>
          <reference field="7" count="1" selected="0">
            <x v="23"/>
          </reference>
        </references>
      </pivotArea>
    </format>
    <format dxfId="2434">
      <pivotArea dataOnly="0" labelOnly="1" outline="0" fieldPosition="0">
        <references count="3">
          <reference field="3" count="1" selected="0">
            <x v="23"/>
          </reference>
          <reference field="4" count="1">
            <x v="1"/>
          </reference>
          <reference field="7" count="1" selected="0">
            <x v="25"/>
          </reference>
        </references>
      </pivotArea>
    </format>
    <format dxfId="2433">
      <pivotArea dataOnly="0" labelOnly="1" outline="0" fieldPosition="0">
        <references count="3">
          <reference field="3" count="1" selected="0">
            <x v="24"/>
          </reference>
          <reference field="4" count="1">
            <x v="2"/>
          </reference>
          <reference field="7" count="1" selected="0">
            <x v="1"/>
          </reference>
        </references>
      </pivotArea>
    </format>
    <format dxfId="2432">
      <pivotArea dataOnly="0" labelOnly="1" outline="0" fieldPosition="0">
        <references count="3">
          <reference field="3" count="1" selected="0">
            <x v="24"/>
          </reference>
          <reference field="4" count="1">
            <x v="2"/>
          </reference>
          <reference field="7" count="1" selected="0">
            <x v="4"/>
          </reference>
        </references>
      </pivotArea>
    </format>
    <format dxfId="2431">
      <pivotArea dataOnly="0" labelOnly="1" outline="0" fieldPosition="0">
        <references count="3">
          <reference field="3" count="1" selected="0">
            <x v="24"/>
          </reference>
          <reference field="4" count="1">
            <x v="2"/>
          </reference>
          <reference field="7" count="1" selected="0">
            <x v="5"/>
          </reference>
        </references>
      </pivotArea>
    </format>
    <format dxfId="2430">
      <pivotArea dataOnly="0" labelOnly="1" outline="0" fieldPosition="0">
        <references count="3">
          <reference field="3" count="1" selected="0">
            <x v="24"/>
          </reference>
          <reference field="4" count="1">
            <x v="2"/>
          </reference>
          <reference field="7" count="1" selected="0">
            <x v="10"/>
          </reference>
        </references>
      </pivotArea>
    </format>
    <format dxfId="2429">
      <pivotArea dataOnly="0" labelOnly="1" outline="0" fieldPosition="0">
        <references count="3">
          <reference field="3" count="1" selected="0">
            <x v="24"/>
          </reference>
          <reference field="4" count="1">
            <x v="2"/>
          </reference>
          <reference field="7" count="1" selected="0">
            <x v="12"/>
          </reference>
        </references>
      </pivotArea>
    </format>
    <format dxfId="2428">
      <pivotArea dataOnly="0" labelOnly="1" outline="0" fieldPosition="0">
        <references count="3">
          <reference field="3" count="1" selected="0">
            <x v="24"/>
          </reference>
          <reference field="4" count="1">
            <x v="2"/>
          </reference>
          <reference field="7" count="1" selected="0">
            <x v="14"/>
          </reference>
        </references>
      </pivotArea>
    </format>
    <format dxfId="2427">
      <pivotArea dataOnly="0" labelOnly="1" outline="0" fieldPosition="0">
        <references count="3">
          <reference field="3" count="1" selected="0">
            <x v="24"/>
          </reference>
          <reference field="4" count="1">
            <x v="2"/>
          </reference>
          <reference field="7" count="1" selected="0">
            <x v="15"/>
          </reference>
        </references>
      </pivotArea>
    </format>
    <format dxfId="2426">
      <pivotArea dataOnly="0" labelOnly="1" outline="0" fieldPosition="0">
        <references count="3">
          <reference field="3" count="1" selected="0">
            <x v="24"/>
          </reference>
          <reference field="4" count="1">
            <x v="2"/>
          </reference>
          <reference field="7" count="1" selected="0">
            <x v="18"/>
          </reference>
        </references>
      </pivotArea>
    </format>
    <format dxfId="2425">
      <pivotArea dataOnly="0" labelOnly="1" outline="0" fieldPosition="0">
        <references count="3">
          <reference field="3" count="1" selected="0">
            <x v="24"/>
          </reference>
          <reference field="4" count="1">
            <x v="2"/>
          </reference>
          <reference field="7" count="1" selected="0">
            <x v="23"/>
          </reference>
        </references>
      </pivotArea>
    </format>
    <format dxfId="2424">
      <pivotArea dataOnly="0" labelOnly="1" outline="0" fieldPosition="0">
        <references count="3">
          <reference field="3" count="1" selected="0">
            <x v="24"/>
          </reference>
          <reference field="4" count="1">
            <x v="2"/>
          </reference>
          <reference field="7" count="1" selected="0">
            <x v="27"/>
          </reference>
        </references>
      </pivotArea>
    </format>
    <format dxfId="2423">
      <pivotArea dataOnly="0" labelOnly="1" outline="0" fieldPosition="0">
        <references count="3">
          <reference field="3" count="1" selected="0">
            <x v="24"/>
          </reference>
          <reference field="4" count="1">
            <x v="2"/>
          </reference>
          <reference field="7" count="1" selected="0">
            <x v="28"/>
          </reference>
        </references>
      </pivotArea>
    </format>
    <format dxfId="2422">
      <pivotArea dataOnly="0" labelOnly="1" outline="0" fieldPosition="0">
        <references count="3">
          <reference field="3" count="1" selected="0">
            <x v="25"/>
          </reference>
          <reference field="4" count="1">
            <x v="0"/>
          </reference>
          <reference field="7" count="1" selected="0">
            <x v="1"/>
          </reference>
        </references>
      </pivotArea>
    </format>
    <format dxfId="2421">
      <pivotArea dataOnly="0" labelOnly="1" outline="0" fieldPosition="0">
        <references count="3">
          <reference field="3" count="1" selected="0">
            <x v="25"/>
          </reference>
          <reference field="4" count="1">
            <x v="0"/>
          </reference>
          <reference field="7" count="1" selected="0">
            <x v="2"/>
          </reference>
        </references>
      </pivotArea>
    </format>
    <format dxfId="2420">
      <pivotArea dataOnly="0" labelOnly="1" outline="0" fieldPosition="0">
        <references count="3">
          <reference field="3" count="1" selected="0">
            <x v="25"/>
          </reference>
          <reference field="4" count="1">
            <x v="0"/>
          </reference>
          <reference field="7" count="1" selected="0">
            <x v="5"/>
          </reference>
        </references>
      </pivotArea>
    </format>
    <format dxfId="2419">
      <pivotArea dataOnly="0" labelOnly="1" outline="0" fieldPosition="0">
        <references count="3">
          <reference field="3" count="1" selected="0">
            <x v="25"/>
          </reference>
          <reference field="4" count="1">
            <x v="0"/>
          </reference>
          <reference field="7" count="1" selected="0">
            <x v="9"/>
          </reference>
        </references>
      </pivotArea>
    </format>
    <format dxfId="2418">
      <pivotArea dataOnly="0" labelOnly="1" outline="0" fieldPosition="0">
        <references count="3">
          <reference field="3" count="1" selected="0">
            <x v="25"/>
          </reference>
          <reference field="4" count="1">
            <x v="0"/>
          </reference>
          <reference field="7" count="1" selected="0">
            <x v="11"/>
          </reference>
        </references>
      </pivotArea>
    </format>
    <format dxfId="2417">
      <pivotArea dataOnly="0" labelOnly="1" outline="0" fieldPosition="0">
        <references count="3">
          <reference field="3" count="1" selected="0">
            <x v="25"/>
          </reference>
          <reference field="4" count="1">
            <x v="0"/>
          </reference>
          <reference field="7" count="1" selected="0">
            <x v="13"/>
          </reference>
        </references>
      </pivotArea>
    </format>
    <format dxfId="2416">
      <pivotArea dataOnly="0" labelOnly="1" outline="0" fieldPosition="0">
        <references count="3">
          <reference field="3" count="1" selected="0">
            <x v="25"/>
          </reference>
          <reference field="4" count="1">
            <x v="0"/>
          </reference>
          <reference field="7" count="1" selected="0">
            <x v="21"/>
          </reference>
        </references>
      </pivotArea>
    </format>
    <format dxfId="2415">
      <pivotArea dataOnly="0" labelOnly="1" outline="0" fieldPosition="0">
        <references count="3">
          <reference field="3" count="1" selected="0">
            <x v="25"/>
          </reference>
          <reference field="4" count="1">
            <x v="0"/>
          </reference>
          <reference field="7" count="1" selected="0">
            <x v="22"/>
          </reference>
        </references>
      </pivotArea>
    </format>
    <format dxfId="2414">
      <pivotArea dataOnly="0" labelOnly="1" outline="0" fieldPosition="0">
        <references count="3">
          <reference field="3" count="1" selected="0">
            <x v="25"/>
          </reference>
          <reference field="4" count="1">
            <x v="0"/>
          </reference>
          <reference field="7" count="1" selected="0">
            <x v="27"/>
          </reference>
        </references>
      </pivotArea>
    </format>
    <format dxfId="2413">
      <pivotArea dataOnly="0" labelOnly="1" outline="0" fieldPosition="0">
        <references count="3">
          <reference field="3" count="1" selected="0">
            <x v="25"/>
          </reference>
          <reference field="4" count="1">
            <x v="0"/>
          </reference>
          <reference field="7" count="1" selected="0">
            <x v="28"/>
          </reference>
        </references>
      </pivotArea>
    </format>
    <format dxfId="2412">
      <pivotArea dataOnly="0" labelOnly="1" outline="0" fieldPosition="0">
        <references count="3">
          <reference field="3" count="1" selected="0">
            <x v="25"/>
          </reference>
          <reference field="4" count="1">
            <x v="0"/>
          </reference>
          <reference field="7" count="1" selected="0">
            <x v="29"/>
          </reference>
        </references>
      </pivotArea>
    </format>
    <format dxfId="2411">
      <pivotArea dataOnly="0" labelOnly="1" outline="0" fieldPosition="0">
        <references count="3">
          <reference field="3" count="1" selected="0">
            <x v="26"/>
          </reference>
          <reference field="4" count="1">
            <x v="1"/>
          </reference>
          <reference field="7" count="1" selected="0">
            <x v="0"/>
          </reference>
        </references>
      </pivotArea>
    </format>
    <format dxfId="2410">
      <pivotArea dataOnly="0" labelOnly="1" outline="0" fieldPosition="0">
        <references count="3">
          <reference field="3" count="1" selected="0">
            <x v="26"/>
          </reference>
          <reference field="4" count="1">
            <x v="1"/>
          </reference>
          <reference field="7" count="1" selected="0">
            <x v="3"/>
          </reference>
        </references>
      </pivotArea>
    </format>
    <format dxfId="2409">
      <pivotArea dataOnly="0" labelOnly="1" outline="0" fieldPosition="0">
        <references count="3">
          <reference field="3" count="1" selected="0">
            <x v="26"/>
          </reference>
          <reference field="4" count="1">
            <x v="1"/>
          </reference>
          <reference field="7" count="1" selected="0">
            <x v="9"/>
          </reference>
        </references>
      </pivotArea>
    </format>
    <format dxfId="2408">
      <pivotArea dataOnly="0" labelOnly="1" outline="0" fieldPosition="0">
        <references count="3">
          <reference field="3" count="1" selected="0">
            <x v="26"/>
          </reference>
          <reference field="4" count="1">
            <x v="1"/>
          </reference>
          <reference field="7" count="1" selected="0">
            <x v="11"/>
          </reference>
        </references>
      </pivotArea>
    </format>
    <format dxfId="2407">
      <pivotArea dataOnly="0" labelOnly="1" outline="0" fieldPosition="0">
        <references count="3">
          <reference field="3" count="1" selected="0">
            <x v="26"/>
          </reference>
          <reference field="4" count="1">
            <x v="1"/>
          </reference>
          <reference field="7" count="1" selected="0">
            <x v="13"/>
          </reference>
        </references>
      </pivotArea>
    </format>
    <format dxfId="2406">
      <pivotArea dataOnly="0" labelOnly="1" outline="0" fieldPosition="0">
        <references count="3">
          <reference field="3" count="1" selected="0">
            <x v="26"/>
          </reference>
          <reference field="4" count="1">
            <x v="1"/>
          </reference>
          <reference field="7" count="1" selected="0">
            <x v="14"/>
          </reference>
        </references>
      </pivotArea>
    </format>
    <format dxfId="2405">
      <pivotArea dataOnly="0" labelOnly="1" outline="0" fieldPosition="0">
        <references count="3">
          <reference field="3" count="1" selected="0">
            <x v="26"/>
          </reference>
          <reference field="4" count="1">
            <x v="1"/>
          </reference>
          <reference field="7" count="1" selected="0">
            <x v="16"/>
          </reference>
        </references>
      </pivotArea>
    </format>
    <format dxfId="2404">
      <pivotArea dataOnly="0" labelOnly="1" outline="0" fieldPosition="0">
        <references count="3">
          <reference field="3" count="1" selected="0">
            <x v="26"/>
          </reference>
          <reference field="4" count="1">
            <x v="1"/>
          </reference>
          <reference field="7" count="1" selected="0">
            <x v="18"/>
          </reference>
        </references>
      </pivotArea>
    </format>
    <format dxfId="2403">
      <pivotArea dataOnly="0" labelOnly="1" outline="0" fieldPosition="0">
        <references count="3">
          <reference field="3" count="1" selected="0">
            <x v="26"/>
          </reference>
          <reference field="4" count="1">
            <x v="1"/>
          </reference>
          <reference field="7" count="1" selected="0">
            <x v="19"/>
          </reference>
        </references>
      </pivotArea>
    </format>
    <format dxfId="2402">
      <pivotArea dataOnly="0" labelOnly="1" outline="0" fieldPosition="0">
        <references count="3">
          <reference field="3" count="1" selected="0">
            <x v="26"/>
          </reference>
          <reference field="4" count="1">
            <x v="1"/>
          </reference>
          <reference field="7" count="1" selected="0">
            <x v="20"/>
          </reference>
        </references>
      </pivotArea>
    </format>
    <format dxfId="2401">
      <pivotArea dataOnly="0" labelOnly="1" outline="0" fieldPosition="0">
        <references count="3">
          <reference field="3" count="1" selected="0">
            <x v="26"/>
          </reference>
          <reference field="4" count="1">
            <x v="1"/>
          </reference>
          <reference field="7" count="1" selected="0">
            <x v="21"/>
          </reference>
        </references>
      </pivotArea>
    </format>
    <format dxfId="2400">
      <pivotArea dataOnly="0" labelOnly="1" outline="0" fieldPosition="0">
        <references count="3">
          <reference field="3" count="1" selected="0">
            <x v="26"/>
          </reference>
          <reference field="4" count="1">
            <x v="1"/>
          </reference>
          <reference field="7" count="1" selected="0">
            <x v="22"/>
          </reference>
        </references>
      </pivotArea>
    </format>
    <format dxfId="2399">
      <pivotArea dataOnly="0" labelOnly="1" outline="0" fieldPosition="0">
        <references count="3">
          <reference field="3" count="1" selected="0">
            <x v="26"/>
          </reference>
          <reference field="4" count="1">
            <x v="1"/>
          </reference>
          <reference field="7" count="1" selected="0">
            <x v="23"/>
          </reference>
        </references>
      </pivotArea>
    </format>
    <format dxfId="2398">
      <pivotArea dataOnly="0" labelOnly="1" outline="0" fieldPosition="0">
        <references count="3">
          <reference field="3" count="1" selected="0">
            <x v="27"/>
          </reference>
          <reference field="4" count="1">
            <x v="2"/>
          </reference>
          <reference field="7" count="1" selected="0">
            <x v="7"/>
          </reference>
        </references>
      </pivotArea>
    </format>
    <format dxfId="2397">
      <pivotArea dataOnly="0" labelOnly="1" outline="0" fieldPosition="0">
        <references count="3">
          <reference field="3" count="1" selected="0">
            <x v="27"/>
          </reference>
          <reference field="4" count="1">
            <x v="2"/>
          </reference>
          <reference field="7" count="1" selected="0">
            <x v="8"/>
          </reference>
        </references>
      </pivotArea>
    </format>
    <format dxfId="2396">
      <pivotArea dataOnly="0" labelOnly="1" outline="0" fieldPosition="0">
        <references count="3">
          <reference field="3" count="1" selected="0">
            <x v="27"/>
          </reference>
          <reference field="4" count="1">
            <x v="2"/>
          </reference>
          <reference field="7" count="1" selected="0">
            <x v="9"/>
          </reference>
        </references>
      </pivotArea>
    </format>
    <format dxfId="2395">
      <pivotArea dataOnly="0" labelOnly="1" outline="0" fieldPosition="0">
        <references count="3">
          <reference field="3" count="1" selected="0">
            <x v="27"/>
          </reference>
          <reference field="4" count="1">
            <x v="2"/>
          </reference>
          <reference field="7" count="1" selected="0">
            <x v="10"/>
          </reference>
        </references>
      </pivotArea>
    </format>
    <format dxfId="2394">
      <pivotArea dataOnly="0" labelOnly="1" outline="0" fieldPosition="0">
        <references count="3">
          <reference field="3" count="1" selected="0">
            <x v="27"/>
          </reference>
          <reference field="4" count="1">
            <x v="2"/>
          </reference>
          <reference field="7" count="1" selected="0">
            <x v="13"/>
          </reference>
        </references>
      </pivotArea>
    </format>
    <format dxfId="2393">
      <pivotArea dataOnly="0" labelOnly="1" outline="0" fieldPosition="0">
        <references count="3">
          <reference field="3" count="1" selected="0">
            <x v="27"/>
          </reference>
          <reference field="4" count="1">
            <x v="2"/>
          </reference>
          <reference field="7" count="1" selected="0">
            <x v="14"/>
          </reference>
        </references>
      </pivotArea>
    </format>
    <format dxfId="2392">
      <pivotArea dataOnly="0" labelOnly="1" outline="0" fieldPosition="0">
        <references count="3">
          <reference field="3" count="1" selected="0">
            <x v="27"/>
          </reference>
          <reference field="4" count="1">
            <x v="2"/>
          </reference>
          <reference field="7" count="1" selected="0">
            <x v="15"/>
          </reference>
        </references>
      </pivotArea>
    </format>
    <format dxfId="2391">
      <pivotArea dataOnly="0" labelOnly="1" outline="0" fieldPosition="0">
        <references count="3">
          <reference field="3" count="1" selected="0">
            <x v="27"/>
          </reference>
          <reference field="4" count="1">
            <x v="2"/>
          </reference>
          <reference field="7" count="1" selected="0">
            <x v="20"/>
          </reference>
        </references>
      </pivotArea>
    </format>
    <format dxfId="2390">
      <pivotArea dataOnly="0" labelOnly="1" outline="0" fieldPosition="0">
        <references count="3">
          <reference field="3" count="1" selected="0">
            <x v="27"/>
          </reference>
          <reference field="4" count="1">
            <x v="2"/>
          </reference>
          <reference field="7" count="1" selected="0">
            <x v="21"/>
          </reference>
        </references>
      </pivotArea>
    </format>
    <format dxfId="2389">
      <pivotArea dataOnly="0" labelOnly="1" outline="0" fieldPosition="0">
        <references count="3">
          <reference field="3" count="1" selected="0">
            <x v="27"/>
          </reference>
          <reference field="4" count="1">
            <x v="2"/>
          </reference>
          <reference field="7" count="1" selected="0">
            <x v="29"/>
          </reference>
        </references>
      </pivotArea>
    </format>
    <format dxfId="2388">
      <pivotArea dataOnly="0" labelOnly="1" outline="0" fieldPosition="0">
        <references count="3">
          <reference field="3" count="1" selected="0">
            <x v="28"/>
          </reference>
          <reference field="4" count="1">
            <x v="1"/>
          </reference>
          <reference field="7" count="1" selected="0">
            <x v="3"/>
          </reference>
        </references>
      </pivotArea>
    </format>
    <format dxfId="2387">
      <pivotArea dataOnly="0" labelOnly="1" outline="0" fieldPosition="0">
        <references count="3">
          <reference field="3" count="1" selected="0">
            <x v="28"/>
          </reference>
          <reference field="4" count="1">
            <x v="1"/>
          </reference>
          <reference field="7" count="1" selected="0">
            <x v="4"/>
          </reference>
        </references>
      </pivotArea>
    </format>
    <format dxfId="2386">
      <pivotArea dataOnly="0" labelOnly="1" outline="0" fieldPosition="0">
        <references count="3">
          <reference field="3" count="1" selected="0">
            <x v="28"/>
          </reference>
          <reference field="4" count="1">
            <x v="1"/>
          </reference>
          <reference field="7" count="1" selected="0">
            <x v="7"/>
          </reference>
        </references>
      </pivotArea>
    </format>
    <format dxfId="2385">
      <pivotArea dataOnly="0" labelOnly="1" outline="0" fieldPosition="0">
        <references count="3">
          <reference field="3" count="1" selected="0">
            <x v="28"/>
          </reference>
          <reference field="4" count="1">
            <x v="1"/>
          </reference>
          <reference field="7" count="1" selected="0">
            <x v="8"/>
          </reference>
        </references>
      </pivotArea>
    </format>
    <format dxfId="2384">
      <pivotArea dataOnly="0" labelOnly="1" outline="0" fieldPosition="0">
        <references count="3">
          <reference field="3" count="1" selected="0">
            <x v="28"/>
          </reference>
          <reference field="4" count="1">
            <x v="1"/>
          </reference>
          <reference field="7" count="1" selected="0">
            <x v="11"/>
          </reference>
        </references>
      </pivotArea>
    </format>
    <format dxfId="2383">
      <pivotArea dataOnly="0" labelOnly="1" outline="0" fieldPosition="0">
        <references count="3">
          <reference field="3" count="1" selected="0">
            <x v="28"/>
          </reference>
          <reference field="4" count="1">
            <x v="1"/>
          </reference>
          <reference field="7" count="1" selected="0">
            <x v="13"/>
          </reference>
        </references>
      </pivotArea>
    </format>
    <format dxfId="2382">
      <pivotArea dataOnly="0" labelOnly="1" outline="0" fieldPosition="0">
        <references count="3">
          <reference field="3" count="1" selected="0">
            <x v="28"/>
          </reference>
          <reference field="4" count="1">
            <x v="1"/>
          </reference>
          <reference field="7" count="1" selected="0">
            <x v="14"/>
          </reference>
        </references>
      </pivotArea>
    </format>
    <format dxfId="2381">
      <pivotArea dataOnly="0" labelOnly="1" outline="0" fieldPosition="0">
        <references count="3">
          <reference field="3" count="1" selected="0">
            <x v="28"/>
          </reference>
          <reference field="4" count="1">
            <x v="1"/>
          </reference>
          <reference field="7" count="1" selected="0">
            <x v="16"/>
          </reference>
        </references>
      </pivotArea>
    </format>
    <format dxfId="2380">
      <pivotArea dataOnly="0" labelOnly="1" outline="0" fieldPosition="0">
        <references count="3">
          <reference field="3" count="1" selected="0">
            <x v="28"/>
          </reference>
          <reference field="4" count="1">
            <x v="1"/>
          </reference>
          <reference field="7" count="1" selected="0">
            <x v="18"/>
          </reference>
        </references>
      </pivotArea>
    </format>
    <format dxfId="2379">
      <pivotArea dataOnly="0" labelOnly="1" outline="0" fieldPosition="0">
        <references count="3">
          <reference field="3" count="1" selected="0">
            <x v="28"/>
          </reference>
          <reference field="4" count="1">
            <x v="1"/>
          </reference>
          <reference field="7" count="1" selected="0">
            <x v="19"/>
          </reference>
        </references>
      </pivotArea>
    </format>
    <format dxfId="2378">
      <pivotArea dataOnly="0" labelOnly="1" outline="0" fieldPosition="0">
        <references count="3">
          <reference field="3" count="1" selected="0">
            <x v="28"/>
          </reference>
          <reference field="4" count="1">
            <x v="1"/>
          </reference>
          <reference field="7" count="1" selected="0">
            <x v="24"/>
          </reference>
        </references>
      </pivotArea>
    </format>
    <format dxfId="2377">
      <pivotArea dataOnly="0" labelOnly="1" outline="0" fieldPosition="0">
        <references count="3">
          <reference field="3" count="1" selected="0">
            <x v="28"/>
          </reference>
          <reference field="4" count="1">
            <x v="1"/>
          </reference>
          <reference field="7" count="1" selected="0">
            <x v="26"/>
          </reference>
        </references>
      </pivotArea>
    </format>
    <format dxfId="2376">
      <pivotArea dataOnly="0" labelOnly="1" outline="0" fieldPosition="0">
        <references count="3">
          <reference field="3" count="1" selected="0">
            <x v="28"/>
          </reference>
          <reference field="4" count="1">
            <x v="1"/>
          </reference>
          <reference field="7" count="1" selected="0">
            <x v="27"/>
          </reference>
        </references>
      </pivotArea>
    </format>
    <format dxfId="2375">
      <pivotArea dataOnly="0" labelOnly="1" outline="0" fieldPosition="0">
        <references count="3">
          <reference field="3" count="1" selected="0">
            <x v="29"/>
          </reference>
          <reference field="4" count="1">
            <x v="3"/>
          </reference>
          <reference field="7" count="1" selected="0">
            <x v="2"/>
          </reference>
        </references>
      </pivotArea>
    </format>
    <format dxfId="2374">
      <pivotArea dataOnly="0" labelOnly="1" outline="0" fieldPosition="0">
        <references count="3">
          <reference field="3" count="1" selected="0">
            <x v="29"/>
          </reference>
          <reference field="4" count="1">
            <x v="3"/>
          </reference>
          <reference field="7" count="1" selected="0">
            <x v="7"/>
          </reference>
        </references>
      </pivotArea>
    </format>
    <format dxfId="2373">
      <pivotArea dataOnly="0" labelOnly="1" outline="0" fieldPosition="0">
        <references count="3">
          <reference field="3" count="1" selected="0">
            <x v="29"/>
          </reference>
          <reference field="4" count="1">
            <x v="3"/>
          </reference>
          <reference field="7" count="1" selected="0">
            <x v="8"/>
          </reference>
        </references>
      </pivotArea>
    </format>
    <format dxfId="2372">
      <pivotArea dataOnly="0" labelOnly="1" outline="0" fieldPosition="0">
        <references count="3">
          <reference field="3" count="1" selected="0">
            <x v="29"/>
          </reference>
          <reference field="4" count="1">
            <x v="3"/>
          </reference>
          <reference field="7" count="1" selected="0">
            <x v="11"/>
          </reference>
        </references>
      </pivotArea>
    </format>
    <format dxfId="2371">
      <pivotArea dataOnly="0" labelOnly="1" outline="0" fieldPosition="0">
        <references count="3">
          <reference field="3" count="1" selected="0">
            <x v="29"/>
          </reference>
          <reference field="4" count="1">
            <x v="3"/>
          </reference>
          <reference field="7" count="1" selected="0">
            <x v="12"/>
          </reference>
        </references>
      </pivotArea>
    </format>
    <format dxfId="2370">
      <pivotArea dataOnly="0" labelOnly="1" outline="0" fieldPosition="0">
        <references count="3">
          <reference field="3" count="1" selected="0">
            <x v="29"/>
          </reference>
          <reference field="4" count="1">
            <x v="3"/>
          </reference>
          <reference field="7" count="1" selected="0">
            <x v="13"/>
          </reference>
        </references>
      </pivotArea>
    </format>
    <format dxfId="2369">
      <pivotArea dataOnly="0" labelOnly="1" outline="0" fieldPosition="0">
        <references count="3">
          <reference field="3" count="1" selected="0">
            <x v="29"/>
          </reference>
          <reference field="4" count="1">
            <x v="3"/>
          </reference>
          <reference field="7" count="1" selected="0">
            <x v="14"/>
          </reference>
        </references>
      </pivotArea>
    </format>
    <format dxfId="2368">
      <pivotArea dataOnly="0" labelOnly="1" outline="0" fieldPosition="0">
        <references count="3">
          <reference field="3" count="1" selected="0">
            <x v="29"/>
          </reference>
          <reference field="4" count="1">
            <x v="3"/>
          </reference>
          <reference field="7" count="1" selected="0">
            <x v="16"/>
          </reference>
        </references>
      </pivotArea>
    </format>
    <format dxfId="2367">
      <pivotArea dataOnly="0" labelOnly="1" outline="0" fieldPosition="0">
        <references count="3">
          <reference field="3" count="1" selected="0">
            <x v="29"/>
          </reference>
          <reference field="4" count="1">
            <x v="3"/>
          </reference>
          <reference field="7" count="1" selected="0">
            <x v="17"/>
          </reference>
        </references>
      </pivotArea>
    </format>
    <format dxfId="2366">
      <pivotArea dataOnly="0" labelOnly="1" outline="0" fieldPosition="0">
        <references count="3">
          <reference field="3" count="1" selected="0">
            <x v="29"/>
          </reference>
          <reference field="4" count="1">
            <x v="3"/>
          </reference>
          <reference field="7" count="1" selected="0">
            <x v="25"/>
          </reference>
        </references>
      </pivotArea>
    </format>
    <format dxfId="2365">
      <pivotArea dataOnly="0" labelOnly="1" outline="0" fieldPosition="0">
        <references count="3">
          <reference field="3" count="1" selected="0">
            <x v="29"/>
          </reference>
          <reference field="4" count="1">
            <x v="3"/>
          </reference>
          <reference field="7" count="1" selected="0">
            <x v="27"/>
          </reference>
        </references>
      </pivotArea>
    </format>
    <format dxfId="2364">
      <pivotArea dataOnly="0" labelOnly="1" outline="0" fieldPosition="0">
        <references count="3">
          <reference field="3" count="1" selected="0">
            <x v="29"/>
          </reference>
          <reference field="4" count="1">
            <x v="3"/>
          </reference>
          <reference field="7" count="1" selected="0">
            <x v="28"/>
          </reference>
        </references>
      </pivotArea>
    </format>
    <format dxfId="2363">
      <pivotArea dataOnly="0" labelOnly="1" outline="0" fieldPosition="0">
        <references count="3">
          <reference field="3" count="1" selected="0">
            <x v="29"/>
          </reference>
          <reference field="4" count="1">
            <x v="3"/>
          </reference>
          <reference field="7" count="1" selected="0">
            <x v="29"/>
          </reference>
        </references>
      </pivotArea>
    </format>
    <format dxfId="2362">
      <pivotArea dataOnly="0" labelOnly="1" outline="0" fieldPosition="0">
        <references count="3">
          <reference field="3" count="1" selected="0">
            <x v="30"/>
          </reference>
          <reference field="4" count="1">
            <x v="0"/>
          </reference>
          <reference field="7" count="1" selected="0">
            <x v="4"/>
          </reference>
        </references>
      </pivotArea>
    </format>
    <format dxfId="2361">
      <pivotArea dataOnly="0" labelOnly="1" outline="0" fieldPosition="0">
        <references count="3">
          <reference field="3" count="1" selected="0">
            <x v="30"/>
          </reference>
          <reference field="4" count="1">
            <x v="0"/>
          </reference>
          <reference field="7" count="1" selected="0">
            <x v="6"/>
          </reference>
        </references>
      </pivotArea>
    </format>
    <format dxfId="2360">
      <pivotArea dataOnly="0" labelOnly="1" outline="0" fieldPosition="0">
        <references count="3">
          <reference field="3" count="1" selected="0">
            <x v="30"/>
          </reference>
          <reference field="4" count="1">
            <x v="0"/>
          </reference>
          <reference field="7" count="1" selected="0">
            <x v="8"/>
          </reference>
        </references>
      </pivotArea>
    </format>
    <format dxfId="2359">
      <pivotArea dataOnly="0" labelOnly="1" outline="0" fieldPosition="0">
        <references count="3">
          <reference field="3" count="1" selected="0">
            <x v="30"/>
          </reference>
          <reference field="4" count="1">
            <x v="0"/>
          </reference>
          <reference field="7" count="1" selected="0">
            <x v="9"/>
          </reference>
        </references>
      </pivotArea>
    </format>
    <format dxfId="2358">
      <pivotArea dataOnly="0" labelOnly="1" outline="0" fieldPosition="0">
        <references count="3">
          <reference field="3" count="1" selected="0">
            <x v="30"/>
          </reference>
          <reference field="4" count="1">
            <x v="0"/>
          </reference>
          <reference field="7" count="1" selected="0">
            <x v="11"/>
          </reference>
        </references>
      </pivotArea>
    </format>
    <format dxfId="2357">
      <pivotArea dataOnly="0" labelOnly="1" outline="0" fieldPosition="0">
        <references count="3">
          <reference field="3" count="1" selected="0">
            <x v="30"/>
          </reference>
          <reference field="4" count="1">
            <x v="0"/>
          </reference>
          <reference field="7" count="1" selected="0">
            <x v="12"/>
          </reference>
        </references>
      </pivotArea>
    </format>
    <format dxfId="2356">
      <pivotArea dataOnly="0" labelOnly="1" outline="0" fieldPosition="0">
        <references count="3">
          <reference field="3" count="1" selected="0">
            <x v="30"/>
          </reference>
          <reference field="4" count="1">
            <x v="0"/>
          </reference>
          <reference field="7" count="1" selected="0">
            <x v="13"/>
          </reference>
        </references>
      </pivotArea>
    </format>
    <format dxfId="2355">
      <pivotArea dataOnly="0" labelOnly="1" outline="0" fieldPosition="0">
        <references count="3">
          <reference field="3" count="1" selected="0">
            <x v="30"/>
          </reference>
          <reference field="4" count="1">
            <x v="0"/>
          </reference>
          <reference field="7" count="1" selected="0">
            <x v="14"/>
          </reference>
        </references>
      </pivotArea>
    </format>
    <format dxfId="2354">
      <pivotArea dataOnly="0" labelOnly="1" outline="0" fieldPosition="0">
        <references count="3">
          <reference field="3" count="1" selected="0">
            <x v="30"/>
          </reference>
          <reference field="4" count="1">
            <x v="0"/>
          </reference>
          <reference field="7" count="1" selected="0">
            <x v="15"/>
          </reference>
        </references>
      </pivotArea>
    </format>
    <format dxfId="2353">
      <pivotArea dataOnly="0" labelOnly="1" outline="0" fieldPosition="0">
        <references count="3">
          <reference field="3" count="1" selected="0">
            <x v="30"/>
          </reference>
          <reference field="4" count="1">
            <x v="0"/>
          </reference>
          <reference field="7" count="1" selected="0">
            <x v="17"/>
          </reference>
        </references>
      </pivotArea>
    </format>
    <format dxfId="2352">
      <pivotArea dataOnly="0" labelOnly="1" outline="0" fieldPosition="0">
        <references count="3">
          <reference field="3" count="1" selected="0">
            <x v="30"/>
          </reference>
          <reference field="4" count="1">
            <x v="0"/>
          </reference>
          <reference field="7" count="1" selected="0">
            <x v="20"/>
          </reference>
        </references>
      </pivotArea>
    </format>
    <format dxfId="2351">
      <pivotArea dataOnly="0" labelOnly="1" outline="0" fieldPosition="0">
        <references count="3">
          <reference field="3" count="1" selected="0">
            <x v="30"/>
          </reference>
          <reference field="4" count="1">
            <x v="0"/>
          </reference>
          <reference field="7" count="1" selected="0">
            <x v="21"/>
          </reference>
        </references>
      </pivotArea>
    </format>
    <format dxfId="2350">
      <pivotArea dataOnly="0" labelOnly="1" outline="0" fieldPosition="0">
        <references count="3">
          <reference field="3" count="1" selected="0">
            <x v="30"/>
          </reference>
          <reference field="4" count="1">
            <x v="0"/>
          </reference>
          <reference field="7" count="1" selected="0">
            <x v="27"/>
          </reference>
        </references>
      </pivotArea>
    </format>
    <format dxfId="2349">
      <pivotArea dataOnly="0" labelOnly="1" outline="0" fieldPosition="0">
        <references count="3">
          <reference field="3" count="1" selected="0">
            <x v="30"/>
          </reference>
          <reference field="4" count="1">
            <x v="0"/>
          </reference>
          <reference field="7" count="1" selected="0">
            <x v="28"/>
          </reference>
        </references>
      </pivotArea>
    </format>
    <format dxfId="2348">
      <pivotArea dataOnly="0" labelOnly="1" outline="0" fieldPosition="0">
        <references count="3">
          <reference field="3" count="1" selected="0">
            <x v="31"/>
          </reference>
          <reference field="4" count="1">
            <x v="3"/>
          </reference>
          <reference field="7" count="1" selected="0">
            <x v="2"/>
          </reference>
        </references>
      </pivotArea>
    </format>
    <format dxfId="2347">
      <pivotArea dataOnly="0" labelOnly="1" outline="0" fieldPosition="0">
        <references count="3">
          <reference field="3" count="1" selected="0">
            <x v="31"/>
          </reference>
          <reference field="4" count="1">
            <x v="3"/>
          </reference>
          <reference field="7" count="1" selected="0">
            <x v="3"/>
          </reference>
        </references>
      </pivotArea>
    </format>
    <format dxfId="2346">
      <pivotArea dataOnly="0" labelOnly="1" outline="0" fieldPosition="0">
        <references count="3">
          <reference field="3" count="1" selected="0">
            <x v="31"/>
          </reference>
          <reference field="4" count="1">
            <x v="3"/>
          </reference>
          <reference field="7" count="1" selected="0">
            <x v="5"/>
          </reference>
        </references>
      </pivotArea>
    </format>
    <format dxfId="2345">
      <pivotArea dataOnly="0" labelOnly="1" outline="0" fieldPosition="0">
        <references count="3">
          <reference field="3" count="1" selected="0">
            <x v="31"/>
          </reference>
          <reference field="4" count="1">
            <x v="3"/>
          </reference>
          <reference field="7" count="1" selected="0">
            <x v="8"/>
          </reference>
        </references>
      </pivotArea>
    </format>
    <format dxfId="2344">
      <pivotArea dataOnly="0" labelOnly="1" outline="0" fieldPosition="0">
        <references count="3">
          <reference field="3" count="1" selected="0">
            <x v="31"/>
          </reference>
          <reference field="4" count="1">
            <x v="3"/>
          </reference>
          <reference field="7" count="1" selected="0">
            <x v="12"/>
          </reference>
        </references>
      </pivotArea>
    </format>
    <format dxfId="2343">
      <pivotArea dataOnly="0" labelOnly="1" outline="0" fieldPosition="0">
        <references count="3">
          <reference field="3" count="1" selected="0">
            <x v="31"/>
          </reference>
          <reference field="4" count="1">
            <x v="3"/>
          </reference>
          <reference field="7" count="1" selected="0">
            <x v="14"/>
          </reference>
        </references>
      </pivotArea>
    </format>
    <format dxfId="2342">
      <pivotArea dataOnly="0" labelOnly="1" outline="0" fieldPosition="0">
        <references count="3">
          <reference field="3" count="1" selected="0">
            <x v="31"/>
          </reference>
          <reference field="4" count="1">
            <x v="3"/>
          </reference>
          <reference field="7" count="1" selected="0">
            <x v="17"/>
          </reference>
        </references>
      </pivotArea>
    </format>
    <format dxfId="2341">
      <pivotArea dataOnly="0" labelOnly="1" outline="0" fieldPosition="0">
        <references count="3">
          <reference field="3" count="1" selected="0">
            <x v="31"/>
          </reference>
          <reference field="4" count="1">
            <x v="3"/>
          </reference>
          <reference field="7" count="1" selected="0">
            <x v="20"/>
          </reference>
        </references>
      </pivotArea>
    </format>
    <format dxfId="2340">
      <pivotArea dataOnly="0" labelOnly="1" outline="0" fieldPosition="0">
        <references count="3">
          <reference field="3" count="1" selected="0">
            <x v="31"/>
          </reference>
          <reference field="4" count="1">
            <x v="3"/>
          </reference>
          <reference field="7" count="1" selected="0">
            <x v="23"/>
          </reference>
        </references>
      </pivotArea>
    </format>
    <format dxfId="2339">
      <pivotArea dataOnly="0" labelOnly="1" outline="0" fieldPosition="0">
        <references count="3">
          <reference field="3" count="1" selected="0">
            <x v="31"/>
          </reference>
          <reference field="4" count="1">
            <x v="3"/>
          </reference>
          <reference field="7" count="1" selected="0">
            <x v="24"/>
          </reference>
        </references>
      </pivotArea>
    </format>
    <format dxfId="2338">
      <pivotArea dataOnly="0" labelOnly="1" outline="0" fieldPosition="0">
        <references count="3">
          <reference field="3" count="1" selected="0">
            <x v="31"/>
          </reference>
          <reference field="4" count="1">
            <x v="3"/>
          </reference>
          <reference field="7" count="1" selected="0">
            <x v="26"/>
          </reference>
        </references>
      </pivotArea>
    </format>
    <format dxfId="2337">
      <pivotArea dataOnly="0" labelOnly="1" outline="0" fieldPosition="0">
        <references count="3">
          <reference field="3" count="1" selected="0">
            <x v="31"/>
          </reference>
          <reference field="4" count="1">
            <x v="3"/>
          </reference>
          <reference field="7" count="1" selected="0">
            <x v="27"/>
          </reference>
        </references>
      </pivotArea>
    </format>
    <format dxfId="2336">
      <pivotArea dataOnly="0" labelOnly="1" outline="0" fieldPosition="0">
        <references count="3">
          <reference field="3" count="1" selected="0">
            <x v="32"/>
          </reference>
          <reference field="4" count="1">
            <x v="0"/>
          </reference>
          <reference field="7" count="1" selected="0">
            <x v="2"/>
          </reference>
        </references>
      </pivotArea>
    </format>
    <format dxfId="2335">
      <pivotArea dataOnly="0" labelOnly="1" outline="0" fieldPosition="0">
        <references count="3">
          <reference field="3" count="1" selected="0">
            <x v="32"/>
          </reference>
          <reference field="4" count="1">
            <x v="0"/>
          </reference>
          <reference field="7" count="1" selected="0">
            <x v="3"/>
          </reference>
        </references>
      </pivotArea>
    </format>
    <format dxfId="2334">
      <pivotArea dataOnly="0" labelOnly="1" outline="0" fieldPosition="0">
        <references count="3">
          <reference field="3" count="1" selected="0">
            <x v="32"/>
          </reference>
          <reference field="4" count="1">
            <x v="0"/>
          </reference>
          <reference field="7" count="1" selected="0">
            <x v="11"/>
          </reference>
        </references>
      </pivotArea>
    </format>
    <format dxfId="2333">
      <pivotArea dataOnly="0" labelOnly="1" outline="0" fieldPosition="0">
        <references count="3">
          <reference field="3" count="1" selected="0">
            <x v="32"/>
          </reference>
          <reference field="4" count="1">
            <x v="0"/>
          </reference>
          <reference field="7" count="1" selected="0">
            <x v="14"/>
          </reference>
        </references>
      </pivotArea>
    </format>
    <format dxfId="2332">
      <pivotArea dataOnly="0" labelOnly="1" outline="0" fieldPosition="0">
        <references count="3">
          <reference field="3" count="1" selected="0">
            <x v="32"/>
          </reference>
          <reference field="4" count="1">
            <x v="0"/>
          </reference>
          <reference field="7" count="1" selected="0">
            <x v="19"/>
          </reference>
        </references>
      </pivotArea>
    </format>
    <format dxfId="2331">
      <pivotArea dataOnly="0" labelOnly="1" outline="0" fieldPosition="0">
        <references count="3">
          <reference field="3" count="1" selected="0">
            <x v="32"/>
          </reference>
          <reference field="4" count="1">
            <x v="0"/>
          </reference>
          <reference field="7" count="1" selected="0">
            <x v="20"/>
          </reference>
        </references>
      </pivotArea>
    </format>
    <format dxfId="2330">
      <pivotArea dataOnly="0" labelOnly="1" outline="0" fieldPosition="0">
        <references count="3">
          <reference field="3" count="1" selected="0">
            <x v="32"/>
          </reference>
          <reference field="4" count="1">
            <x v="0"/>
          </reference>
          <reference field="7" count="1" selected="0">
            <x v="21"/>
          </reference>
        </references>
      </pivotArea>
    </format>
    <format dxfId="2329">
      <pivotArea dataOnly="0" labelOnly="1" outline="0" fieldPosition="0">
        <references count="3">
          <reference field="3" count="1" selected="0">
            <x v="32"/>
          </reference>
          <reference field="4" count="1">
            <x v="0"/>
          </reference>
          <reference field="7" count="1" selected="0">
            <x v="22"/>
          </reference>
        </references>
      </pivotArea>
    </format>
    <format dxfId="2328">
      <pivotArea dataOnly="0" labelOnly="1" outline="0" fieldPosition="0">
        <references count="3">
          <reference field="3" count="1" selected="0">
            <x v="32"/>
          </reference>
          <reference field="4" count="1">
            <x v="0"/>
          </reference>
          <reference field="7" count="1" selected="0">
            <x v="23"/>
          </reference>
        </references>
      </pivotArea>
    </format>
    <format dxfId="2327">
      <pivotArea dataOnly="0" labelOnly="1" outline="0" fieldPosition="0">
        <references count="3">
          <reference field="3" count="1" selected="0">
            <x v="32"/>
          </reference>
          <reference field="4" count="1">
            <x v="0"/>
          </reference>
          <reference field="7" count="1" selected="0">
            <x v="24"/>
          </reference>
        </references>
      </pivotArea>
    </format>
    <format dxfId="2326">
      <pivotArea dataOnly="0" labelOnly="1" outline="0" fieldPosition="0">
        <references count="3">
          <reference field="3" count="1" selected="0">
            <x v="33"/>
          </reference>
          <reference field="4" count="1">
            <x v="2"/>
          </reference>
          <reference field="7" count="1" selected="0">
            <x v="1"/>
          </reference>
        </references>
      </pivotArea>
    </format>
    <format dxfId="2325">
      <pivotArea dataOnly="0" labelOnly="1" outline="0" fieldPosition="0">
        <references count="3">
          <reference field="3" count="1" selected="0">
            <x v="33"/>
          </reference>
          <reference field="4" count="1">
            <x v="2"/>
          </reference>
          <reference field="7" count="1" selected="0">
            <x v="4"/>
          </reference>
        </references>
      </pivotArea>
    </format>
    <format dxfId="2324">
      <pivotArea dataOnly="0" labelOnly="1" outline="0" fieldPosition="0">
        <references count="3">
          <reference field="3" count="1" selected="0">
            <x v="33"/>
          </reference>
          <reference field="4" count="1">
            <x v="2"/>
          </reference>
          <reference field="7" count="1" selected="0">
            <x v="8"/>
          </reference>
        </references>
      </pivotArea>
    </format>
    <format dxfId="2323">
      <pivotArea dataOnly="0" labelOnly="1" outline="0" fieldPosition="0">
        <references count="3">
          <reference field="3" count="1" selected="0">
            <x v="33"/>
          </reference>
          <reference field="4" count="1">
            <x v="2"/>
          </reference>
          <reference field="7" count="1" selected="0">
            <x v="9"/>
          </reference>
        </references>
      </pivotArea>
    </format>
    <format dxfId="2322">
      <pivotArea dataOnly="0" labelOnly="1" outline="0" fieldPosition="0">
        <references count="3">
          <reference field="3" count="1" selected="0">
            <x v="33"/>
          </reference>
          <reference field="4" count="1">
            <x v="2"/>
          </reference>
          <reference field="7" count="1" selected="0">
            <x v="11"/>
          </reference>
        </references>
      </pivotArea>
    </format>
    <format dxfId="2321">
      <pivotArea dataOnly="0" labelOnly="1" outline="0" fieldPosition="0">
        <references count="3">
          <reference field="3" count="1" selected="0">
            <x v="33"/>
          </reference>
          <reference field="4" count="1">
            <x v="2"/>
          </reference>
          <reference field="7" count="1" selected="0">
            <x v="16"/>
          </reference>
        </references>
      </pivotArea>
    </format>
    <format dxfId="2320">
      <pivotArea dataOnly="0" labelOnly="1" outline="0" fieldPosition="0">
        <references count="3">
          <reference field="3" count="1" selected="0">
            <x v="33"/>
          </reference>
          <reference field="4" count="1">
            <x v="2"/>
          </reference>
          <reference field="7" count="1" selected="0">
            <x v="17"/>
          </reference>
        </references>
      </pivotArea>
    </format>
    <format dxfId="2319">
      <pivotArea dataOnly="0" labelOnly="1" outline="0" fieldPosition="0">
        <references count="3">
          <reference field="3" count="1" selected="0">
            <x v="33"/>
          </reference>
          <reference field="4" count="1">
            <x v="2"/>
          </reference>
          <reference field="7" count="1" selected="0">
            <x v="18"/>
          </reference>
        </references>
      </pivotArea>
    </format>
    <format dxfId="2318">
      <pivotArea dataOnly="0" labelOnly="1" outline="0" fieldPosition="0">
        <references count="3">
          <reference field="3" count="1" selected="0">
            <x v="33"/>
          </reference>
          <reference field="4" count="1">
            <x v="2"/>
          </reference>
          <reference field="7" count="1" selected="0">
            <x v="20"/>
          </reference>
        </references>
      </pivotArea>
    </format>
    <format dxfId="2317">
      <pivotArea dataOnly="0" labelOnly="1" outline="0" fieldPosition="0">
        <references count="3">
          <reference field="3" count="1" selected="0">
            <x v="33"/>
          </reference>
          <reference field="4" count="1">
            <x v="2"/>
          </reference>
          <reference field="7" count="1" selected="0">
            <x v="21"/>
          </reference>
        </references>
      </pivotArea>
    </format>
    <format dxfId="2316">
      <pivotArea dataOnly="0" labelOnly="1" outline="0" fieldPosition="0">
        <references count="3">
          <reference field="3" count="1" selected="0">
            <x v="33"/>
          </reference>
          <reference field="4" count="1">
            <x v="2"/>
          </reference>
          <reference field="7" count="1" selected="0">
            <x v="22"/>
          </reference>
        </references>
      </pivotArea>
    </format>
    <format dxfId="2315">
      <pivotArea dataOnly="0" labelOnly="1" outline="0" fieldPosition="0">
        <references count="3">
          <reference field="3" count="1" selected="0">
            <x v="33"/>
          </reference>
          <reference field="4" count="1">
            <x v="2"/>
          </reference>
          <reference field="7" count="1" selected="0">
            <x v="23"/>
          </reference>
        </references>
      </pivotArea>
    </format>
    <format dxfId="2314">
      <pivotArea dataOnly="0" labelOnly="1" outline="0" fieldPosition="0">
        <references count="3">
          <reference field="3" count="1" selected="0">
            <x v="34"/>
          </reference>
          <reference field="4" count="1">
            <x v="0"/>
          </reference>
          <reference field="7" count="1" selected="0">
            <x v="0"/>
          </reference>
        </references>
      </pivotArea>
    </format>
    <format dxfId="2313">
      <pivotArea dataOnly="0" labelOnly="1" outline="0" fieldPosition="0">
        <references count="3">
          <reference field="3" count="1" selected="0">
            <x v="34"/>
          </reference>
          <reference field="4" count="1">
            <x v="0"/>
          </reference>
          <reference field="7" count="1" selected="0">
            <x v="1"/>
          </reference>
        </references>
      </pivotArea>
    </format>
    <format dxfId="2312">
      <pivotArea dataOnly="0" labelOnly="1" outline="0" fieldPosition="0">
        <references count="3">
          <reference field="3" count="1" selected="0">
            <x v="34"/>
          </reference>
          <reference field="4" count="1">
            <x v="0"/>
          </reference>
          <reference field="7" count="1" selected="0">
            <x v="10"/>
          </reference>
        </references>
      </pivotArea>
    </format>
    <format dxfId="2311">
      <pivotArea dataOnly="0" labelOnly="1" outline="0" fieldPosition="0">
        <references count="3">
          <reference field="3" count="1" selected="0">
            <x v="34"/>
          </reference>
          <reference field="4" count="1">
            <x v="0"/>
          </reference>
          <reference field="7" count="1" selected="0">
            <x v="11"/>
          </reference>
        </references>
      </pivotArea>
    </format>
    <format dxfId="2310">
      <pivotArea dataOnly="0" labelOnly="1" outline="0" fieldPosition="0">
        <references count="3">
          <reference field="3" count="1" selected="0">
            <x v="34"/>
          </reference>
          <reference field="4" count="1">
            <x v="0"/>
          </reference>
          <reference field="7" count="1" selected="0">
            <x v="12"/>
          </reference>
        </references>
      </pivotArea>
    </format>
    <format dxfId="2309">
      <pivotArea dataOnly="0" labelOnly="1" outline="0" fieldPosition="0">
        <references count="3">
          <reference field="3" count="1" selected="0">
            <x v="34"/>
          </reference>
          <reference field="4" count="1">
            <x v="0"/>
          </reference>
          <reference field="7" count="1" selected="0">
            <x v="20"/>
          </reference>
        </references>
      </pivotArea>
    </format>
    <format dxfId="2308">
      <pivotArea dataOnly="0" labelOnly="1" outline="0" fieldPosition="0">
        <references count="3">
          <reference field="3" count="1" selected="0">
            <x v="34"/>
          </reference>
          <reference field="4" count="1">
            <x v="0"/>
          </reference>
          <reference field="7" count="1" selected="0">
            <x v="21"/>
          </reference>
        </references>
      </pivotArea>
    </format>
    <format dxfId="2307">
      <pivotArea dataOnly="0" labelOnly="1" outline="0" fieldPosition="0">
        <references count="3">
          <reference field="3" count="1" selected="0">
            <x v="34"/>
          </reference>
          <reference field="4" count="1">
            <x v="0"/>
          </reference>
          <reference field="7" count="1" selected="0">
            <x v="23"/>
          </reference>
        </references>
      </pivotArea>
    </format>
    <format dxfId="2306">
      <pivotArea dataOnly="0" labelOnly="1" outline="0" fieldPosition="0">
        <references count="3">
          <reference field="3" count="1" selected="0">
            <x v="34"/>
          </reference>
          <reference field="4" count="1">
            <x v="0"/>
          </reference>
          <reference field="7" count="1" selected="0">
            <x v="25"/>
          </reference>
        </references>
      </pivotArea>
    </format>
    <format dxfId="2305">
      <pivotArea dataOnly="0" labelOnly="1" outline="0" fieldPosition="0">
        <references count="3">
          <reference field="3" count="1" selected="0">
            <x v="34"/>
          </reference>
          <reference field="4" count="1">
            <x v="0"/>
          </reference>
          <reference field="7" count="1" selected="0">
            <x v="27"/>
          </reference>
        </references>
      </pivotArea>
    </format>
    <format dxfId="2304">
      <pivotArea dataOnly="0" labelOnly="1" outline="0" fieldPosition="0">
        <references count="3">
          <reference field="3" count="1" selected="0">
            <x v="34"/>
          </reference>
          <reference field="4" count="1">
            <x v="0"/>
          </reference>
          <reference field="7" count="1" selected="0">
            <x v="29"/>
          </reference>
        </references>
      </pivotArea>
    </format>
    <format dxfId="2303">
      <pivotArea dataOnly="0" labelOnly="1" outline="0" fieldPosition="0">
        <references count="3">
          <reference field="3" count="1" selected="0">
            <x v="35"/>
          </reference>
          <reference field="4" count="1">
            <x v="0"/>
          </reference>
          <reference field="7" count="1" selected="0">
            <x v="0"/>
          </reference>
        </references>
      </pivotArea>
    </format>
    <format dxfId="2302">
      <pivotArea dataOnly="0" labelOnly="1" outline="0" fieldPosition="0">
        <references count="3">
          <reference field="3" count="1" selected="0">
            <x v="35"/>
          </reference>
          <reference field="4" count="1">
            <x v="0"/>
          </reference>
          <reference field="7" count="1" selected="0">
            <x v="1"/>
          </reference>
        </references>
      </pivotArea>
    </format>
    <format dxfId="2301">
      <pivotArea dataOnly="0" labelOnly="1" outline="0" fieldPosition="0">
        <references count="3">
          <reference field="3" count="1" selected="0">
            <x v="35"/>
          </reference>
          <reference field="4" count="1">
            <x v="0"/>
          </reference>
          <reference field="7" count="1" selected="0">
            <x v="2"/>
          </reference>
        </references>
      </pivotArea>
    </format>
    <format dxfId="2300">
      <pivotArea dataOnly="0" labelOnly="1" outline="0" fieldPosition="0">
        <references count="3">
          <reference field="3" count="1" selected="0">
            <x v="35"/>
          </reference>
          <reference field="4" count="1">
            <x v="0"/>
          </reference>
          <reference field="7" count="1" selected="0">
            <x v="3"/>
          </reference>
        </references>
      </pivotArea>
    </format>
    <format dxfId="2299">
      <pivotArea dataOnly="0" labelOnly="1" outline="0" fieldPosition="0">
        <references count="3">
          <reference field="3" count="1" selected="0">
            <x v="35"/>
          </reference>
          <reference field="4" count="1">
            <x v="0"/>
          </reference>
          <reference field="7" count="1" selected="0">
            <x v="15"/>
          </reference>
        </references>
      </pivotArea>
    </format>
    <format dxfId="2298">
      <pivotArea dataOnly="0" labelOnly="1" outline="0" fieldPosition="0">
        <references count="3">
          <reference field="3" count="1" selected="0">
            <x v="35"/>
          </reference>
          <reference field="4" count="1">
            <x v="0"/>
          </reference>
          <reference field="7" count="1" selected="0">
            <x v="16"/>
          </reference>
        </references>
      </pivotArea>
    </format>
    <format dxfId="2297">
      <pivotArea dataOnly="0" labelOnly="1" outline="0" fieldPosition="0">
        <references count="3">
          <reference field="3" count="1" selected="0">
            <x v="35"/>
          </reference>
          <reference field="4" count="1">
            <x v="0"/>
          </reference>
          <reference field="7" count="1" selected="0">
            <x v="18"/>
          </reference>
        </references>
      </pivotArea>
    </format>
    <format dxfId="2296">
      <pivotArea dataOnly="0" labelOnly="1" outline="0" fieldPosition="0">
        <references count="3">
          <reference field="3" count="1" selected="0">
            <x v="35"/>
          </reference>
          <reference field="4" count="1">
            <x v="0"/>
          </reference>
          <reference field="7" count="1" selected="0">
            <x v="19"/>
          </reference>
        </references>
      </pivotArea>
    </format>
    <format dxfId="2295">
      <pivotArea dataOnly="0" labelOnly="1" outline="0" fieldPosition="0">
        <references count="3">
          <reference field="3" count="1" selected="0">
            <x v="35"/>
          </reference>
          <reference field="4" count="1">
            <x v="0"/>
          </reference>
          <reference field="7" count="1" selected="0">
            <x v="23"/>
          </reference>
        </references>
      </pivotArea>
    </format>
    <format dxfId="2294">
      <pivotArea dataOnly="0" labelOnly="1" outline="0" fieldPosition="0">
        <references count="3">
          <reference field="3" count="1" selected="0">
            <x v="35"/>
          </reference>
          <reference field="4" count="1">
            <x v="0"/>
          </reference>
          <reference field="7" count="1" selected="0">
            <x v="25"/>
          </reference>
        </references>
      </pivotArea>
    </format>
    <format dxfId="2293">
      <pivotArea dataOnly="0" labelOnly="1" outline="0" fieldPosition="0">
        <references count="3">
          <reference field="3" count="1" selected="0">
            <x v="35"/>
          </reference>
          <reference field="4" count="1">
            <x v="0"/>
          </reference>
          <reference field="7" count="1" selected="0">
            <x v="27"/>
          </reference>
        </references>
      </pivotArea>
    </format>
    <format dxfId="2292">
      <pivotArea dataOnly="0" labelOnly="1" outline="0" fieldPosition="0">
        <references count="3">
          <reference field="3" count="1" selected="0">
            <x v="35"/>
          </reference>
          <reference field="4" count="1">
            <x v="0"/>
          </reference>
          <reference field="7" count="1" selected="0">
            <x v="28"/>
          </reference>
        </references>
      </pivotArea>
    </format>
    <format dxfId="2291">
      <pivotArea dataOnly="0" labelOnly="1" outline="0" fieldPosition="0">
        <references count="3">
          <reference field="3" count="1" selected="0">
            <x v="36"/>
          </reference>
          <reference field="4" count="1">
            <x v="2"/>
          </reference>
          <reference field="7" count="1" selected="0">
            <x v="0"/>
          </reference>
        </references>
      </pivotArea>
    </format>
    <format dxfId="2290">
      <pivotArea dataOnly="0" labelOnly="1" outline="0" fieldPosition="0">
        <references count="3">
          <reference field="3" count="1" selected="0">
            <x v="36"/>
          </reference>
          <reference field="4" count="1">
            <x v="2"/>
          </reference>
          <reference field="7" count="1" selected="0">
            <x v="1"/>
          </reference>
        </references>
      </pivotArea>
    </format>
    <format dxfId="2289">
      <pivotArea dataOnly="0" labelOnly="1" outline="0" fieldPosition="0">
        <references count="3">
          <reference field="3" count="1" selected="0">
            <x v="36"/>
          </reference>
          <reference field="4" count="1">
            <x v="2"/>
          </reference>
          <reference field="7" count="1" selected="0">
            <x v="2"/>
          </reference>
        </references>
      </pivotArea>
    </format>
    <format dxfId="2288">
      <pivotArea dataOnly="0" labelOnly="1" outline="0" fieldPosition="0">
        <references count="3">
          <reference field="3" count="1" selected="0">
            <x v="36"/>
          </reference>
          <reference field="4" count="1">
            <x v="2"/>
          </reference>
          <reference field="7" count="1" selected="0">
            <x v="3"/>
          </reference>
        </references>
      </pivotArea>
    </format>
    <format dxfId="2287">
      <pivotArea dataOnly="0" labelOnly="1" outline="0" fieldPosition="0">
        <references count="3">
          <reference field="3" count="1" selected="0">
            <x v="36"/>
          </reference>
          <reference field="4" count="1">
            <x v="2"/>
          </reference>
          <reference field="7" count="1" selected="0">
            <x v="4"/>
          </reference>
        </references>
      </pivotArea>
    </format>
    <format dxfId="2286">
      <pivotArea dataOnly="0" labelOnly="1" outline="0" fieldPosition="0">
        <references count="3">
          <reference field="3" count="1" selected="0">
            <x v="36"/>
          </reference>
          <reference field="4" count="1">
            <x v="2"/>
          </reference>
          <reference field="7" count="1" selected="0">
            <x v="5"/>
          </reference>
        </references>
      </pivotArea>
    </format>
    <format dxfId="2285">
      <pivotArea dataOnly="0" labelOnly="1" outline="0" fieldPosition="0">
        <references count="3">
          <reference field="3" count="1" selected="0">
            <x v="36"/>
          </reference>
          <reference field="4" count="1">
            <x v="2"/>
          </reference>
          <reference field="7" count="1" selected="0">
            <x v="11"/>
          </reference>
        </references>
      </pivotArea>
    </format>
    <format dxfId="2284">
      <pivotArea dataOnly="0" labelOnly="1" outline="0" fieldPosition="0">
        <references count="3">
          <reference field="3" count="1" selected="0">
            <x v="36"/>
          </reference>
          <reference field="4" count="1">
            <x v="2"/>
          </reference>
          <reference field="7" count="1" selected="0">
            <x v="15"/>
          </reference>
        </references>
      </pivotArea>
    </format>
    <format dxfId="2283">
      <pivotArea dataOnly="0" labelOnly="1" outline="0" fieldPosition="0">
        <references count="3">
          <reference field="3" count="1" selected="0">
            <x v="36"/>
          </reference>
          <reference field="4" count="1">
            <x v="2"/>
          </reference>
          <reference field="7" count="1" selected="0">
            <x v="16"/>
          </reference>
        </references>
      </pivotArea>
    </format>
    <format dxfId="2282">
      <pivotArea dataOnly="0" labelOnly="1" outline="0" fieldPosition="0">
        <references count="3">
          <reference field="3" count="1" selected="0">
            <x v="36"/>
          </reference>
          <reference field="4" count="1">
            <x v="2"/>
          </reference>
          <reference field="7" count="1" selected="0">
            <x v="19"/>
          </reference>
        </references>
      </pivotArea>
    </format>
    <format dxfId="2281">
      <pivotArea dataOnly="0" labelOnly="1" outline="0" fieldPosition="0">
        <references count="3">
          <reference field="3" count="1" selected="0">
            <x v="36"/>
          </reference>
          <reference field="4" count="1">
            <x v="2"/>
          </reference>
          <reference field="7" count="1" selected="0">
            <x v="20"/>
          </reference>
        </references>
      </pivotArea>
    </format>
    <format dxfId="2280">
      <pivotArea dataOnly="0" labelOnly="1" outline="0" fieldPosition="0">
        <references count="3">
          <reference field="3" count="1" selected="0">
            <x v="36"/>
          </reference>
          <reference field="4" count="1">
            <x v="2"/>
          </reference>
          <reference field="7" count="1" selected="0">
            <x v="22"/>
          </reference>
        </references>
      </pivotArea>
    </format>
    <format dxfId="2279">
      <pivotArea dataOnly="0" labelOnly="1" outline="0" fieldPosition="0">
        <references count="3">
          <reference field="3" count="1" selected="0">
            <x v="36"/>
          </reference>
          <reference field="4" count="1">
            <x v="2"/>
          </reference>
          <reference field="7" count="1" selected="0">
            <x v="26"/>
          </reference>
        </references>
      </pivotArea>
    </format>
    <format dxfId="2278">
      <pivotArea dataOnly="0" labelOnly="1" outline="0" fieldPosition="0">
        <references count="3">
          <reference field="3" count="1" selected="0">
            <x v="36"/>
          </reference>
          <reference field="4" count="1">
            <x v="2"/>
          </reference>
          <reference field="7" count="1" selected="0">
            <x v="27"/>
          </reference>
        </references>
      </pivotArea>
    </format>
    <format dxfId="2277">
      <pivotArea dataOnly="0" labelOnly="1" outline="0" fieldPosition="0">
        <references count="3">
          <reference field="3" count="1" selected="0">
            <x v="36"/>
          </reference>
          <reference field="4" count="1">
            <x v="2"/>
          </reference>
          <reference field="7" count="1" selected="0">
            <x v="28"/>
          </reference>
        </references>
      </pivotArea>
    </format>
    <format dxfId="2276">
      <pivotArea dataOnly="0" labelOnly="1" outline="0" fieldPosition="0">
        <references count="3">
          <reference field="3" count="1" selected="0">
            <x v="36"/>
          </reference>
          <reference field="4" count="1">
            <x v="2"/>
          </reference>
          <reference field="7" count="1" selected="0">
            <x v="29"/>
          </reference>
        </references>
      </pivotArea>
    </format>
    <format dxfId="2275">
      <pivotArea dataOnly="0" labelOnly="1" outline="0" fieldPosition="0">
        <references count="3">
          <reference field="3" count="1" selected="0">
            <x v="37"/>
          </reference>
          <reference field="4" count="1">
            <x v="0"/>
          </reference>
          <reference field="7" count="1" selected="0">
            <x v="4"/>
          </reference>
        </references>
      </pivotArea>
    </format>
    <format dxfId="2274">
      <pivotArea dataOnly="0" labelOnly="1" outline="0" fieldPosition="0">
        <references count="3">
          <reference field="3" count="1" selected="0">
            <x v="37"/>
          </reference>
          <reference field="4" count="1">
            <x v="0"/>
          </reference>
          <reference field="7" count="1" selected="0">
            <x v="5"/>
          </reference>
        </references>
      </pivotArea>
    </format>
    <format dxfId="2273">
      <pivotArea dataOnly="0" labelOnly="1" outline="0" fieldPosition="0">
        <references count="3">
          <reference field="3" count="1" selected="0">
            <x v="37"/>
          </reference>
          <reference field="4" count="1">
            <x v="0"/>
          </reference>
          <reference field="7" count="1" selected="0">
            <x v="8"/>
          </reference>
        </references>
      </pivotArea>
    </format>
    <format dxfId="2272">
      <pivotArea dataOnly="0" labelOnly="1" outline="0" fieldPosition="0">
        <references count="3">
          <reference field="3" count="1" selected="0">
            <x v="37"/>
          </reference>
          <reference field="4" count="1">
            <x v="0"/>
          </reference>
          <reference field="7" count="1" selected="0">
            <x v="9"/>
          </reference>
        </references>
      </pivotArea>
    </format>
    <format dxfId="2271">
      <pivotArea dataOnly="0" labelOnly="1" outline="0" fieldPosition="0">
        <references count="3">
          <reference field="3" count="1" selected="0">
            <x v="37"/>
          </reference>
          <reference field="4" count="1">
            <x v="0"/>
          </reference>
          <reference field="7" count="1" selected="0">
            <x v="14"/>
          </reference>
        </references>
      </pivotArea>
    </format>
    <format dxfId="2270">
      <pivotArea dataOnly="0" labelOnly="1" outline="0" fieldPosition="0">
        <references count="3">
          <reference field="3" count="1" selected="0">
            <x v="37"/>
          </reference>
          <reference field="4" count="1">
            <x v="0"/>
          </reference>
          <reference field="7" count="1" selected="0">
            <x v="21"/>
          </reference>
        </references>
      </pivotArea>
    </format>
    <format dxfId="2269">
      <pivotArea dataOnly="0" labelOnly="1" outline="0" fieldPosition="0">
        <references count="3">
          <reference field="3" count="1" selected="0">
            <x v="37"/>
          </reference>
          <reference field="4" count="1">
            <x v="0"/>
          </reference>
          <reference field="7" count="1" selected="0">
            <x v="22"/>
          </reference>
        </references>
      </pivotArea>
    </format>
    <format dxfId="2268">
      <pivotArea dataOnly="0" labelOnly="1" outline="0" fieldPosition="0">
        <references count="3">
          <reference field="3" count="1" selected="0">
            <x v="37"/>
          </reference>
          <reference field="4" count="1">
            <x v="0"/>
          </reference>
          <reference field="7" count="1" selected="0">
            <x v="27"/>
          </reference>
        </references>
      </pivotArea>
    </format>
    <format dxfId="2267">
      <pivotArea dataOnly="0" labelOnly="1" outline="0" fieldPosition="0">
        <references count="3">
          <reference field="3" count="1" selected="0">
            <x v="38"/>
          </reference>
          <reference field="4" count="1">
            <x v="1"/>
          </reference>
          <reference field="7" count="1" selected="0">
            <x v="1"/>
          </reference>
        </references>
      </pivotArea>
    </format>
    <format dxfId="2266">
      <pivotArea dataOnly="0" labelOnly="1" outline="0" fieldPosition="0">
        <references count="3">
          <reference field="3" count="1" selected="0">
            <x v="38"/>
          </reference>
          <reference field="4" count="1">
            <x v="1"/>
          </reference>
          <reference field="7" count="1" selected="0">
            <x v="4"/>
          </reference>
        </references>
      </pivotArea>
    </format>
    <format dxfId="2265">
      <pivotArea dataOnly="0" labelOnly="1" outline="0" fieldPosition="0">
        <references count="3">
          <reference field="3" count="1" selected="0">
            <x v="38"/>
          </reference>
          <reference field="4" count="1">
            <x v="1"/>
          </reference>
          <reference field="7" count="1" selected="0">
            <x v="8"/>
          </reference>
        </references>
      </pivotArea>
    </format>
    <format dxfId="2264">
      <pivotArea dataOnly="0" labelOnly="1" outline="0" fieldPosition="0">
        <references count="3">
          <reference field="3" count="1" selected="0">
            <x v="38"/>
          </reference>
          <reference field="4" count="1">
            <x v="1"/>
          </reference>
          <reference field="7" count="1" selected="0">
            <x v="9"/>
          </reference>
        </references>
      </pivotArea>
    </format>
    <format dxfId="2263">
      <pivotArea dataOnly="0" labelOnly="1" outline="0" fieldPosition="0">
        <references count="3">
          <reference field="3" count="1" selected="0">
            <x v="38"/>
          </reference>
          <reference field="4" count="1">
            <x v="1"/>
          </reference>
          <reference field="7" count="1" selected="0">
            <x v="15"/>
          </reference>
        </references>
      </pivotArea>
    </format>
    <format dxfId="2262">
      <pivotArea dataOnly="0" labelOnly="1" outline="0" fieldPosition="0">
        <references count="3">
          <reference field="3" count="1" selected="0">
            <x v="38"/>
          </reference>
          <reference field="4" count="1">
            <x v="1"/>
          </reference>
          <reference field="7" count="1" selected="0">
            <x v="16"/>
          </reference>
        </references>
      </pivotArea>
    </format>
    <format dxfId="2261">
      <pivotArea dataOnly="0" labelOnly="1" outline="0" fieldPosition="0">
        <references count="3">
          <reference field="3" count="1" selected="0">
            <x v="38"/>
          </reference>
          <reference field="4" count="1">
            <x v="1"/>
          </reference>
          <reference field="7" count="1" selected="0">
            <x v="17"/>
          </reference>
        </references>
      </pivotArea>
    </format>
    <format dxfId="2260">
      <pivotArea dataOnly="0" labelOnly="1" outline="0" fieldPosition="0">
        <references count="3">
          <reference field="3" count="1" selected="0">
            <x v="38"/>
          </reference>
          <reference field="4" count="1">
            <x v="1"/>
          </reference>
          <reference field="7" count="1" selected="0">
            <x v="21"/>
          </reference>
        </references>
      </pivotArea>
    </format>
    <format dxfId="2259">
      <pivotArea dataOnly="0" labelOnly="1" outline="0" fieldPosition="0">
        <references count="3">
          <reference field="3" count="1" selected="0">
            <x v="38"/>
          </reference>
          <reference field="4" count="1">
            <x v="1"/>
          </reference>
          <reference field="7" count="1" selected="0">
            <x v="22"/>
          </reference>
        </references>
      </pivotArea>
    </format>
    <format dxfId="2258">
      <pivotArea dataOnly="0" labelOnly="1" outline="0" fieldPosition="0">
        <references count="3">
          <reference field="3" count="1" selected="0">
            <x v="38"/>
          </reference>
          <reference field="4" count="1">
            <x v="1"/>
          </reference>
          <reference field="7" count="1" selected="0">
            <x v="28"/>
          </reference>
        </references>
      </pivotArea>
    </format>
    <format dxfId="2257">
      <pivotArea dataOnly="0" labelOnly="1" outline="0" fieldPosition="0">
        <references count="3">
          <reference field="3" count="1" selected="0">
            <x v="39"/>
          </reference>
          <reference field="4" count="1">
            <x v="2"/>
          </reference>
          <reference field="7" count="1" selected="0">
            <x v="0"/>
          </reference>
        </references>
      </pivotArea>
    </format>
    <format dxfId="2256">
      <pivotArea dataOnly="0" labelOnly="1" outline="0" fieldPosition="0">
        <references count="3">
          <reference field="3" count="1" selected="0">
            <x v="39"/>
          </reference>
          <reference field="4" count="1">
            <x v="2"/>
          </reference>
          <reference field="7" count="1" selected="0">
            <x v="2"/>
          </reference>
        </references>
      </pivotArea>
    </format>
    <format dxfId="2255">
      <pivotArea dataOnly="0" labelOnly="1" outline="0" fieldPosition="0">
        <references count="3">
          <reference field="3" count="1" selected="0">
            <x v="39"/>
          </reference>
          <reference field="4" count="1">
            <x v="2"/>
          </reference>
          <reference field="7" count="1" selected="0">
            <x v="7"/>
          </reference>
        </references>
      </pivotArea>
    </format>
    <format dxfId="2254">
      <pivotArea dataOnly="0" labelOnly="1" outline="0" fieldPosition="0">
        <references count="3">
          <reference field="3" count="1" selected="0">
            <x v="39"/>
          </reference>
          <reference field="4" count="1">
            <x v="2"/>
          </reference>
          <reference field="7" count="1" selected="0">
            <x v="10"/>
          </reference>
        </references>
      </pivotArea>
    </format>
    <format dxfId="2253">
      <pivotArea dataOnly="0" labelOnly="1" outline="0" fieldPosition="0">
        <references count="3">
          <reference field="3" count="1" selected="0">
            <x v="39"/>
          </reference>
          <reference field="4" count="1">
            <x v="2"/>
          </reference>
          <reference field="7" count="1" selected="0">
            <x v="11"/>
          </reference>
        </references>
      </pivotArea>
    </format>
    <format dxfId="2252">
      <pivotArea dataOnly="0" labelOnly="1" outline="0" fieldPosition="0">
        <references count="3">
          <reference field="3" count="1" selected="0">
            <x v="39"/>
          </reference>
          <reference field="4" count="1">
            <x v="2"/>
          </reference>
          <reference field="7" count="1" selected="0">
            <x v="12"/>
          </reference>
        </references>
      </pivotArea>
    </format>
    <format dxfId="2251">
      <pivotArea dataOnly="0" labelOnly="1" outline="0" fieldPosition="0">
        <references count="3">
          <reference field="3" count="1" selected="0">
            <x v="39"/>
          </reference>
          <reference field="4" count="1">
            <x v="2"/>
          </reference>
          <reference field="7" count="1" selected="0">
            <x v="13"/>
          </reference>
        </references>
      </pivotArea>
    </format>
    <format dxfId="2250">
      <pivotArea dataOnly="0" labelOnly="1" outline="0" fieldPosition="0">
        <references count="3">
          <reference field="3" count="1" selected="0">
            <x v="39"/>
          </reference>
          <reference field="4" count="1">
            <x v="2"/>
          </reference>
          <reference field="7" count="1" selected="0">
            <x v="14"/>
          </reference>
        </references>
      </pivotArea>
    </format>
    <format dxfId="2249">
      <pivotArea dataOnly="0" labelOnly="1" outline="0" fieldPosition="0">
        <references count="3">
          <reference field="3" count="1" selected="0">
            <x v="39"/>
          </reference>
          <reference field="4" count="1">
            <x v="2"/>
          </reference>
          <reference field="7" count="1" selected="0">
            <x v="17"/>
          </reference>
        </references>
      </pivotArea>
    </format>
    <format dxfId="2248">
      <pivotArea dataOnly="0" labelOnly="1" outline="0" fieldPosition="0">
        <references count="3">
          <reference field="3" count="1" selected="0">
            <x v="39"/>
          </reference>
          <reference field="4" count="1">
            <x v="2"/>
          </reference>
          <reference field="7" count="1" selected="0">
            <x v="18"/>
          </reference>
        </references>
      </pivotArea>
    </format>
    <format dxfId="2247">
      <pivotArea dataOnly="0" labelOnly="1" outline="0" fieldPosition="0">
        <references count="3">
          <reference field="3" count="1" selected="0">
            <x v="39"/>
          </reference>
          <reference field="4" count="1">
            <x v="2"/>
          </reference>
          <reference field="7" count="1" selected="0">
            <x v="22"/>
          </reference>
        </references>
      </pivotArea>
    </format>
    <format dxfId="2246">
      <pivotArea dataOnly="0" labelOnly="1" outline="0" fieldPosition="0">
        <references count="3">
          <reference field="3" count="1" selected="0">
            <x v="39"/>
          </reference>
          <reference field="4" count="1">
            <x v="2"/>
          </reference>
          <reference field="7" count="1" selected="0">
            <x v="28"/>
          </reference>
        </references>
      </pivotArea>
    </format>
    <format dxfId="2245">
      <pivotArea dataOnly="0" labelOnly="1" outline="0" fieldPosition="0">
        <references count="3">
          <reference field="3" count="1" selected="0">
            <x v="39"/>
          </reference>
          <reference field="4" count="1">
            <x v="2"/>
          </reference>
          <reference field="7" count="1" selected="0">
            <x v="29"/>
          </reference>
        </references>
      </pivotArea>
    </format>
    <format dxfId="2244">
      <pivotArea field="7" type="button" dataOnly="0" labelOnly="1" outline="0" axis="axisRow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38059B-8D08-401D-B80F-376753DCF50E}" name="PivotTable4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erchants">
  <location ref="A2:D27" firstHeaderRow="0" firstDataRow="1" firstDataCol="1"/>
  <pivotFields count="17">
    <pivotField dataField="1" showAll="0">
      <items count="5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t="default"/>
      </items>
    </pivotField>
    <pivotField showAll="0"/>
    <pivotField showAll="0"/>
    <pivotField axis="axisRow" showAll="0">
      <items count="41">
        <item x="37"/>
        <item x="27"/>
        <item x="4"/>
        <item x="29"/>
        <item x="32"/>
        <item x="18"/>
        <item x="23"/>
        <item x="30"/>
        <item h="1" x="39"/>
        <item h="1" x="34"/>
        <item h="1" x="2"/>
        <item h="1" x="9"/>
        <item h="1" x="6"/>
        <item h="1" x="16"/>
        <item h="1" x="19"/>
        <item h="1" x="0"/>
        <item h="1" x="28"/>
        <item h="1" x="7"/>
        <item h="1" x="13"/>
        <item h="1" x="15"/>
        <item h="1" x="17"/>
        <item h="1" x="3"/>
        <item h="1" x="5"/>
        <item h="1" x="31"/>
        <item h="1" x="14"/>
        <item h="1" x="22"/>
        <item h="1" x="1"/>
        <item h="1" x="10"/>
        <item h="1" x="26"/>
        <item h="1" x="24"/>
        <item h="1" x="20"/>
        <item h="1" x="33"/>
        <item h="1" x="11"/>
        <item h="1" x="36"/>
        <item h="1" x="8"/>
        <item h="1" x="25"/>
        <item h="1" x="21"/>
        <item h="1" x="35"/>
        <item h="1" x="38"/>
        <item h="1" x="12"/>
        <item t="default"/>
      </items>
    </pivotField>
    <pivotField showAll="0"/>
    <pivotField showAll="0"/>
    <pivotField numFmtId="22" showAll="0">
      <items count="543">
        <item x="106"/>
        <item x="346"/>
        <item x="10"/>
        <item x="217"/>
        <item x="54"/>
        <item x="274"/>
        <item x="489"/>
        <item x="419"/>
        <item x="271"/>
        <item x="43"/>
        <item x="457"/>
        <item x="70"/>
        <item x="166"/>
        <item x="107"/>
        <item x="530"/>
        <item x="531"/>
        <item x="532"/>
        <item x="533"/>
        <item x="471"/>
        <item x="101"/>
        <item x="41"/>
        <item x="168"/>
        <item x="177"/>
        <item x="237"/>
        <item x="425"/>
        <item x="412"/>
        <item x="456"/>
        <item x="510"/>
        <item x="511"/>
        <item x="512"/>
        <item x="513"/>
        <item x="138"/>
        <item x="93"/>
        <item x="522"/>
        <item x="523"/>
        <item x="524"/>
        <item x="525"/>
        <item x="186"/>
        <item x="211"/>
        <item x="330"/>
        <item x="196"/>
        <item x="320"/>
        <item x="162"/>
        <item x="267"/>
        <item x="486"/>
        <item x="304"/>
        <item x="113"/>
        <item x="298"/>
        <item x="494"/>
        <item x="465"/>
        <item x="375"/>
        <item x="343"/>
        <item x="438"/>
        <item x="408"/>
        <item x="243"/>
        <item x="178"/>
        <item x="313"/>
        <item x="289"/>
        <item x="405"/>
        <item x="463"/>
        <item x="111"/>
        <item x="294"/>
        <item x="1"/>
        <item x="224"/>
        <item x="350"/>
        <item x="58"/>
        <item x="156"/>
        <item x="399"/>
        <item x="181"/>
        <item x="26"/>
        <item x="272"/>
        <item x="242"/>
        <item x="311"/>
        <item x="135"/>
        <item x="339"/>
        <item x="18"/>
        <item x="39"/>
        <item x="142"/>
        <item x="231"/>
        <item x="190"/>
        <item x="483"/>
        <item x="394"/>
        <item x="307"/>
        <item x="159"/>
        <item x="89"/>
        <item x="303"/>
        <item x="29"/>
        <item x="85"/>
        <item x="208"/>
        <item x="391"/>
        <item x="87"/>
        <item x="207"/>
        <item x="210"/>
        <item x="245"/>
        <item x="355"/>
        <item x="95"/>
        <item x="474"/>
        <item x="109"/>
        <item x="491"/>
        <item x="5"/>
        <item x="140"/>
        <item x="65"/>
        <item x="454"/>
        <item x="290"/>
        <item x="423"/>
        <item x="201"/>
        <item x="94"/>
        <item x="442"/>
        <item x="71"/>
        <item x="364"/>
        <item x="56"/>
        <item x="331"/>
        <item x="362"/>
        <item x="55"/>
        <item x="6"/>
        <item x="400"/>
        <item x="45"/>
        <item x="97"/>
        <item x="370"/>
        <item x="203"/>
        <item x="338"/>
        <item x="53"/>
        <item x="333"/>
        <item x="403"/>
        <item x="279"/>
        <item x="285"/>
        <item x="411"/>
        <item x="84"/>
        <item x="11"/>
        <item x="183"/>
        <item x="292"/>
        <item x="296"/>
        <item x="79"/>
        <item x="218"/>
        <item x="50"/>
        <item x="122"/>
        <item x="146"/>
        <item x="149"/>
        <item x="117"/>
        <item x="301"/>
        <item x="534"/>
        <item x="535"/>
        <item x="536"/>
        <item x="537"/>
        <item x="155"/>
        <item x="284"/>
        <item x="462"/>
        <item x="216"/>
        <item x="276"/>
        <item x="256"/>
        <item x="82"/>
        <item x="324"/>
        <item x="398"/>
        <item x="430"/>
        <item x="492"/>
        <item x="434"/>
        <item x="485"/>
        <item x="387"/>
        <item x="167"/>
        <item x="250"/>
        <item x="310"/>
        <item x="126"/>
        <item x="249"/>
        <item x="179"/>
        <item x="228"/>
        <item x="367"/>
        <item x="295"/>
        <item x="390"/>
        <item x="451"/>
        <item x="8"/>
        <item x="445"/>
        <item x="38"/>
        <item x="496"/>
        <item x="51"/>
        <item x="33"/>
        <item x="353"/>
        <item x="128"/>
        <item x="46"/>
        <item x="459"/>
        <item x="293"/>
        <item x="163"/>
        <item x="421"/>
        <item x="83"/>
        <item x="270"/>
        <item x="182"/>
        <item x="518"/>
        <item x="519"/>
        <item x="520"/>
        <item x="521"/>
        <item x="254"/>
        <item x="446"/>
        <item x="448"/>
        <item x="514"/>
        <item x="515"/>
        <item x="516"/>
        <item x="517"/>
        <item x="347"/>
        <item x="317"/>
        <item x="287"/>
        <item x="202"/>
        <item x="480"/>
        <item x="174"/>
        <item x="151"/>
        <item x="199"/>
        <item x="368"/>
        <item x="397"/>
        <item x="258"/>
        <item x="437"/>
        <item x="395"/>
        <item x="130"/>
        <item x="152"/>
        <item x="175"/>
        <item x="484"/>
        <item x="466"/>
        <item x="504"/>
        <item x="283"/>
        <item x="88"/>
        <item x="114"/>
        <item x="305"/>
        <item x="13"/>
        <item x="165"/>
        <item x="221"/>
        <item x="461"/>
        <item x="14"/>
        <item x="115"/>
        <item x="120"/>
        <item x="15"/>
        <item x="49"/>
        <item x="414"/>
        <item x="30"/>
        <item x="477"/>
        <item x="340"/>
        <item x="493"/>
        <item x="64"/>
        <item x="40"/>
        <item x="526"/>
        <item x="527"/>
        <item x="528"/>
        <item x="529"/>
        <item x="188"/>
        <item x="194"/>
        <item x="238"/>
        <item x="157"/>
        <item x="300"/>
        <item x="37"/>
        <item x="407"/>
        <item x="447"/>
        <item x="34"/>
        <item x="335"/>
        <item x="193"/>
        <item x="363"/>
        <item x="306"/>
        <item x="148"/>
        <item x="173"/>
        <item x="22"/>
        <item x="342"/>
        <item x="192"/>
        <item x="404"/>
        <item x="123"/>
        <item x="240"/>
        <item x="69"/>
        <item x="187"/>
        <item x="388"/>
        <item x="321"/>
        <item x="410"/>
        <item x="103"/>
        <item x="96"/>
        <item x="225"/>
        <item x="357"/>
        <item x="52"/>
        <item x="432"/>
        <item x="118"/>
        <item x="127"/>
        <item x="386"/>
        <item x="376"/>
        <item x="255"/>
        <item x="369"/>
        <item x="359"/>
        <item x="110"/>
        <item x="499"/>
        <item x="236"/>
        <item x="77"/>
        <item x="352"/>
        <item x="323"/>
        <item x="227"/>
        <item x="214"/>
        <item x="418"/>
        <item x="73"/>
        <item x="209"/>
        <item x="229"/>
        <item x="315"/>
        <item x="325"/>
        <item x="393"/>
        <item x="433"/>
        <item x="308"/>
        <item x="487"/>
        <item x="264"/>
        <item x="409"/>
        <item x="134"/>
        <item x="356"/>
        <item x="282"/>
        <item x="133"/>
        <item x="24"/>
        <item x="124"/>
        <item x="20"/>
        <item x="327"/>
        <item x="488"/>
        <item x="164"/>
        <item x="266"/>
        <item x="381"/>
        <item x="74"/>
        <item x="31"/>
        <item x="78"/>
        <item x="366"/>
        <item x="420"/>
        <item x="436"/>
        <item x="90"/>
        <item x="62"/>
        <item x="104"/>
        <item x="322"/>
        <item x="452"/>
        <item x="509"/>
        <item x="384"/>
        <item x="185"/>
        <item x="328"/>
        <item x="473"/>
        <item x="378"/>
        <item x="86"/>
        <item x="358"/>
        <item x="344"/>
        <item x="223"/>
        <item x="263"/>
        <item x="406"/>
        <item x="348"/>
        <item x="198"/>
        <item x="48"/>
        <item x="481"/>
        <item x="42"/>
        <item x="450"/>
        <item x="396"/>
        <item x="441"/>
        <item x="286"/>
        <item x="61"/>
        <item x="297"/>
        <item x="505"/>
        <item x="200"/>
        <item x="280"/>
        <item x="172"/>
        <item x="213"/>
        <item x="464"/>
        <item x="275"/>
        <item x="278"/>
        <item x="440"/>
        <item x="57"/>
        <item x="345"/>
        <item x="424"/>
        <item x="251"/>
        <item x="444"/>
        <item x="299"/>
        <item x="467"/>
        <item x="383"/>
        <item x="239"/>
        <item x="121"/>
        <item x="100"/>
        <item x="241"/>
        <item x="382"/>
        <item x="379"/>
        <item x="479"/>
        <item x="63"/>
        <item x="247"/>
        <item x="252"/>
        <item x="302"/>
        <item x="497"/>
        <item x="9"/>
        <item x="326"/>
        <item x="498"/>
        <item x="253"/>
        <item x="361"/>
        <item x="472"/>
        <item x="212"/>
        <item x="16"/>
        <item x="392"/>
        <item x="176"/>
        <item x="98"/>
        <item x="195"/>
        <item x="257"/>
        <item x="248"/>
        <item x="112"/>
        <item x="17"/>
        <item x="288"/>
        <item x="460"/>
        <item x="373"/>
        <item x="204"/>
        <item x="281"/>
        <item x="215"/>
        <item x="416"/>
        <item x="508"/>
        <item x="170"/>
        <item x="334"/>
        <item x="506"/>
        <item x="458"/>
        <item x="119"/>
        <item x="76"/>
        <item x="220"/>
        <item x="377"/>
        <item x="538"/>
        <item x="539"/>
        <item x="540"/>
        <item x="541"/>
        <item x="206"/>
        <item x="191"/>
        <item x="501"/>
        <item x="136"/>
        <item x="244"/>
        <item x="380"/>
        <item x="371"/>
        <item x="273"/>
        <item x="507"/>
        <item x="60"/>
        <item x="28"/>
        <item x="314"/>
        <item x="360"/>
        <item x="365"/>
        <item x="139"/>
        <item x="184"/>
        <item x="476"/>
        <item x="443"/>
        <item x="449"/>
        <item x="2"/>
        <item x="19"/>
        <item x="439"/>
        <item x="260"/>
        <item x="341"/>
        <item x="12"/>
        <item x="197"/>
        <item x="219"/>
        <item x="259"/>
        <item x="261"/>
        <item x="81"/>
        <item x="319"/>
        <item x="131"/>
        <item x="153"/>
        <item x="455"/>
        <item x="80"/>
        <item x="401"/>
        <item x="171"/>
        <item x="44"/>
        <item x="426"/>
        <item x="351"/>
        <item x="108"/>
        <item x="35"/>
        <item x="309"/>
        <item x="246"/>
        <item x="337"/>
        <item x="125"/>
        <item x="116"/>
        <item x="91"/>
        <item x="36"/>
        <item x="402"/>
        <item x="233"/>
        <item x="478"/>
        <item x="232"/>
        <item x="428"/>
        <item x="503"/>
        <item x="75"/>
        <item x="141"/>
        <item x="374"/>
        <item x="143"/>
        <item x="99"/>
        <item x="482"/>
        <item x="161"/>
        <item x="154"/>
        <item x="32"/>
        <item x="316"/>
        <item x="262"/>
        <item x="66"/>
        <item x="21"/>
        <item x="277"/>
        <item x="132"/>
        <item x="422"/>
        <item x="312"/>
        <item x="23"/>
        <item x="68"/>
        <item x="7"/>
        <item x="25"/>
        <item x="268"/>
        <item x="453"/>
        <item x="102"/>
        <item x="349"/>
        <item x="230"/>
        <item x="205"/>
        <item x="427"/>
        <item x="67"/>
        <item x="27"/>
        <item x="226"/>
        <item x="180"/>
        <item x="502"/>
        <item x="435"/>
        <item x="265"/>
        <item x="417"/>
        <item x="144"/>
        <item x="468"/>
        <item x="150"/>
        <item x="389"/>
        <item x="137"/>
        <item x="92"/>
        <item x="235"/>
        <item x="336"/>
        <item x="318"/>
        <item x="189"/>
        <item x="429"/>
        <item x="385"/>
        <item x="500"/>
        <item x="147"/>
        <item x="0"/>
        <item x="415"/>
        <item x="3"/>
        <item x="105"/>
        <item x="354"/>
        <item x="469"/>
        <item x="169"/>
        <item x="475"/>
        <item x="490"/>
        <item x="329"/>
        <item x="72"/>
        <item x="332"/>
        <item x="470"/>
        <item x="269"/>
        <item x="222"/>
        <item x="413"/>
        <item x="47"/>
        <item x="431"/>
        <item x="495"/>
        <item x="160"/>
        <item x="158"/>
        <item x="291"/>
        <item x="129"/>
        <item x="59"/>
        <item x="4"/>
        <item x="145"/>
        <item x="234"/>
        <item x="372"/>
        <item t="default"/>
      </items>
    </pivotField>
    <pivotField numFmtId="14" showAll="0"/>
    <pivotField dataField="1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 defaultSubtotal="0"/>
    <pivotField showAll="0" defaultSubtotal="0"/>
    <pivotField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</pivotFields>
  <rowFields count="2">
    <field x="3"/>
    <field x="10"/>
  </rowFields>
  <rowItems count="25">
    <i>
      <x/>
    </i>
    <i r="1">
      <x/>
    </i>
    <i r="1">
      <x v="2"/>
    </i>
    <i>
      <x v="1"/>
    </i>
    <i r="1">
      <x/>
    </i>
    <i>
      <x v="2"/>
    </i>
    <i r="1">
      <x/>
    </i>
    <i r="1">
      <x v="1"/>
    </i>
    <i>
      <x v="3"/>
    </i>
    <i r="1">
      <x/>
    </i>
    <i>
      <x v="4"/>
    </i>
    <i r="1">
      <x/>
    </i>
    <i r="1">
      <x v="2"/>
    </i>
    <i>
      <x v="5"/>
    </i>
    <i r="1">
      <x/>
    </i>
    <i r="1">
      <x v="1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Volume" fld="8" baseField="0" baseItem="0"/>
    <dataField name="Total Transactions" fld="0" subtotal="count" baseField="0" baseItem="0"/>
    <dataField name="Unique Transacting Day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B02E432-8084-40F3-BDFA-6FA55AED6CD0}" autoFormatId="16" applyNumberFormats="0" applyBorderFormats="0" applyFontFormats="0" applyPatternFormats="0" applyAlignmentFormats="0" applyWidthHeightFormats="0">
  <queryTableRefresh nextId="15" unboundColumnsRight="2">
    <queryTableFields count="14">
      <queryTableField id="1" name="transaction_id" tableColumnId="1"/>
      <queryTableField id="2" name="user_id" tableColumnId="2"/>
      <queryTableField id="3" name="merchant_id" tableColumnId="3"/>
      <queryTableField id="11" dataBound="0" tableColumnId="12"/>
      <queryTableField id="10" dataBound="0" tableColumnId="11"/>
      <queryTableField id="9" dataBound="0" tableColumnId="10"/>
      <queryTableField id="4" name="transaction_time" tableColumnId="4"/>
      <queryTableField id="13" dataBound="0" tableColumnId="14"/>
      <queryTableField id="5" name="amount_inr" tableColumnId="5"/>
      <queryTableField id="6" name="payment_method" tableColumnId="6"/>
      <queryTableField id="7" name="status" tableColumnId="7"/>
      <queryTableField id="8" name="risk_score" tableColumnId="8"/>
      <queryTableField id="14" dataBound="0" tableColumnId="15"/>
      <queryTableField id="12" dataBound="0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5E2982F-BE5E-41C3-9122-6B049288C71A}" autoFormatId="16" applyNumberFormats="0" applyBorderFormats="0" applyFontFormats="0" applyPatternFormats="0" applyAlignmentFormats="0" applyWidthHeightFormats="0">
  <queryTableRefresh nextId="5">
    <queryTableFields count="4">
      <queryTableField id="1" name="merchant_id" tableColumnId="1"/>
      <queryTableField id="2" name="merchant_name" tableColumnId="2"/>
      <queryTableField id="3" name="category" tableColumnId="3"/>
      <queryTableField id="4" name="regio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7726D4-EB73-4C89-8177-FAAA8F064B1C}" name="ledger" displayName="ledger" ref="A1:N548" tableType="queryTable" totalsRowShown="0">
  <autoFilter ref="A1:N548" xr:uid="{D17726D4-EB73-4C89-8177-FAAA8F064B1C}"/>
  <tableColumns count="14">
    <tableColumn id="1" xr3:uid="{78DC1D66-42D9-4CBE-A2AA-0BD737A06056}" uniqueName="1" name="transaction_id" queryTableFieldId="1" dataDxfId="2700"/>
    <tableColumn id="2" xr3:uid="{21169CDF-DAC2-4AB2-A8F4-63EB82B3A076}" uniqueName="2" name="user_id" queryTableFieldId="2"/>
    <tableColumn id="3" xr3:uid="{117B938C-8197-4853-AC15-867B7C20A5D9}" uniqueName="3" name="merchant_id" queryTableFieldId="3"/>
    <tableColumn id="12" xr3:uid="{60BD09B6-FB90-4CF5-A2BB-77454B612770}" uniqueName="12" name="merchant_name" queryTableFieldId="11" dataDxfId="2697">
      <calculatedColumnFormula>IFERROR(VLOOKUP($C2,merchants!$A$2:$D$41,2,FALSE),"Merchant not found")</calculatedColumnFormula>
    </tableColumn>
    <tableColumn id="11" xr3:uid="{034DFD92-276B-44A6-8673-3CBDD122FD00}" uniqueName="11" name="Region" queryTableFieldId="10" dataDxfId="2695">
      <calculatedColumnFormula>IFERROR(VLOOKUP($C2, merchants!$A$2:$D$41, 4, FALSE), "Merchant not found")</calculatedColumnFormula>
    </tableColumn>
    <tableColumn id="10" xr3:uid="{CB8DB524-B319-4D9A-A144-58CF6C0CED62}" uniqueName="10" name="Category" queryTableFieldId="9" dataDxfId="2696">
      <calculatedColumnFormula>IFERROR(VLOOKUP($C2, merchants!$A$2:$D$41, 3, FALSE), "Merchant not found")</calculatedColumnFormula>
    </tableColumn>
    <tableColumn id="4" xr3:uid="{9EC43EC0-D575-44B6-9900-CE62862AEB9D}" uniqueName="4" name="transaction_time" queryTableFieldId="4" dataDxfId="2693"/>
    <tableColumn id="14" xr3:uid="{B3E1C623-3F3E-4FA7-8889-0DA60B3F81C5}" uniqueName="14" name="Short_date" queryTableFieldId="13" dataDxfId="2692">
      <calculatedColumnFormula>INT(G2)</calculatedColumnFormula>
    </tableColumn>
    <tableColumn id="5" xr3:uid="{AC5DAFAC-74B6-438E-9C83-F391CAC78B3C}" uniqueName="5" name="amount_inr" queryTableFieldId="5"/>
    <tableColumn id="6" xr3:uid="{CBACD92C-2783-4AC5-8170-EBA9AA454747}" uniqueName="6" name="payment_method" queryTableFieldId="6" dataDxfId="2699"/>
    <tableColumn id="7" xr3:uid="{CAD45E29-4BDA-4D24-99BC-55E896E4EA0E}" uniqueName="7" name="status" queryTableFieldId="7" dataDxfId="2698"/>
    <tableColumn id="8" xr3:uid="{C3EBB7EA-299B-46DD-BB44-9AD95EA44ED3}" uniqueName="8" name="risk_score" queryTableFieldId="8"/>
    <tableColumn id="15" xr3:uid="{748A0380-49C7-4356-8B54-9D904E2ABE0F}" uniqueName="15" name="Unique_Day_Flag" queryTableFieldId="14" dataDxfId="2243">
      <calculatedColumnFormula>IF(COUNTIFS($D$2:$D2, $D2, $H$2:$H2, $H2)=1, 1, 0)</calculatedColumnFormula>
    </tableColumn>
    <tableColumn id="13" xr3:uid="{99678A1D-8383-42A7-B50E-E3EC832FED9C}" uniqueName="13" name="MDR_Fee" queryTableFieldId="12" dataDxfId="269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055FB3-D8D1-484D-BB53-1E9F981C16FA}" name="merchants" displayName="merchants" ref="A1:D41" tableType="queryTable" totalsRowShown="0">
  <autoFilter ref="A1:D41" xr:uid="{24055FB3-D8D1-484D-BB53-1E9F981C16FA}"/>
  <tableColumns count="4">
    <tableColumn id="1" xr3:uid="{E2FE3C66-9969-4821-8A77-A9957D525273}" uniqueName="1" name="merchant_id" queryTableFieldId="1"/>
    <tableColumn id="2" xr3:uid="{11B6FF6F-3AFE-4668-84FF-C7A852E9BC7D}" uniqueName="2" name="merchant_name" queryTableFieldId="2" dataDxfId="1346"/>
    <tableColumn id="3" xr3:uid="{023A9EE8-43FE-43F3-A238-A28F690FE796}" uniqueName="3" name="category" queryTableFieldId="3" dataDxfId="1345"/>
    <tableColumn id="4" xr3:uid="{EC5559DE-53F7-419D-838F-8090E71F12CE}" uniqueName="4" name="region" queryTableFieldId="4" dataDxfId="134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E0CEF77-8781-4536-814F-BE53FA5CBAB1}" name="Table4" displayName="Table4" ref="A1:E2" totalsRowShown="0">
  <autoFilter ref="A1:E2" xr:uid="{0E0CEF77-8781-4536-814F-BE53FA5CBAB1}"/>
  <tableColumns count="5">
    <tableColumn id="1" xr3:uid="{08F9F64C-8E80-4757-8BCA-D2AD08053A2F}" name="Method"/>
    <tableColumn id="2" xr3:uid="{051D82BE-7C60-4F35-B1EB-1C08FF3DCF6B}" name="UPI"/>
    <tableColumn id="3" xr3:uid="{0D007F69-BD4B-4DD1-B6AB-053653C41480}" name="Wallet"/>
    <tableColumn id="4" xr3:uid="{D7F9DCC8-C2F3-4C30-86A9-8B4D33E48819}" name="Card"/>
    <tableColumn id="5" xr3:uid="{A19C0DF3-C20D-4B38-B58C-72442C73E44E}" name="Netbank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7411A-533B-4BD2-8EC0-4570F1B9A061}">
  <dimension ref="A2:E447"/>
  <sheetViews>
    <sheetView workbookViewId="0">
      <selection activeCell="E7" sqref="E7"/>
    </sheetView>
  </sheetViews>
  <sheetFormatPr defaultRowHeight="14.4" x14ac:dyDescent="0.3"/>
  <cols>
    <col min="1" max="1" width="18.5546875" customWidth="1"/>
    <col min="2" max="2" width="14.77734375" style="7" bestFit="1" customWidth="1"/>
    <col min="3" max="3" width="11.21875" style="7" bestFit="1" customWidth="1"/>
    <col min="4" max="4" width="17.5546875" style="7" bestFit="1" customWidth="1"/>
    <col min="5" max="5" width="71.77734375" style="7" bestFit="1" customWidth="1"/>
    <col min="6" max="8" width="17.5546875" bestFit="1" customWidth="1"/>
  </cols>
  <sheetData>
    <row r="2" spans="1:5" x14ac:dyDescent="0.3">
      <c r="E2" s="7" t="s">
        <v>624</v>
      </c>
    </row>
    <row r="3" spans="1:5" x14ac:dyDescent="0.3">
      <c r="A3" s="5" t="s">
        <v>631</v>
      </c>
      <c r="B3" s="9" t="s">
        <v>629</v>
      </c>
      <c r="C3" s="9" t="s">
        <v>617</v>
      </c>
      <c r="D3" s="7" t="s">
        <v>630</v>
      </c>
      <c r="E3" s="10" t="s">
        <v>623</v>
      </c>
    </row>
    <row r="4" spans="1:5" x14ac:dyDescent="0.3">
      <c r="A4" t="s">
        <v>565</v>
      </c>
      <c r="B4" s="4">
        <v>46027</v>
      </c>
      <c r="C4" s="7" t="s">
        <v>567</v>
      </c>
      <c r="D4" s="8">
        <v>1499</v>
      </c>
      <c r="E4" s="7" t="str">
        <f>IF(AND(D4 &gt; 5000, C4 &lt;&gt; "East"), "High-Value Merchant Day", "Standard")</f>
        <v>Standard</v>
      </c>
    </row>
    <row r="5" spans="1:5" x14ac:dyDescent="0.3">
      <c r="B5" s="4">
        <v>46028</v>
      </c>
      <c r="C5" s="7" t="s">
        <v>567</v>
      </c>
      <c r="D5" s="8">
        <v>149</v>
      </c>
      <c r="E5" s="7" t="str">
        <f t="shared" ref="E5:E68" si="0">IF(AND(D5 &gt; 5000, C5 &lt;&gt; "East"), "High-Value Merchant Day", "Standard")</f>
        <v>Standard</v>
      </c>
    </row>
    <row r="6" spans="1:5" x14ac:dyDescent="0.3">
      <c r="B6" s="4">
        <v>46031</v>
      </c>
      <c r="C6" s="7" t="s">
        <v>567</v>
      </c>
      <c r="D6" s="8">
        <v>5048</v>
      </c>
      <c r="E6" s="7" t="str">
        <f t="shared" si="0"/>
        <v>High-Value Merchant Day</v>
      </c>
    </row>
    <row r="7" spans="1:5" x14ac:dyDescent="0.3">
      <c r="B7" s="4">
        <v>46033</v>
      </c>
      <c r="C7" s="7" t="s">
        <v>567</v>
      </c>
      <c r="D7" s="8">
        <v>299</v>
      </c>
      <c r="E7" s="7" t="str">
        <f t="shared" si="0"/>
        <v>Standard</v>
      </c>
    </row>
    <row r="8" spans="1:5" x14ac:dyDescent="0.3">
      <c r="B8" s="4">
        <v>46034</v>
      </c>
      <c r="C8" s="7" t="s">
        <v>567</v>
      </c>
      <c r="D8" s="8">
        <v>149</v>
      </c>
      <c r="E8" s="7" t="str">
        <f t="shared" si="0"/>
        <v>Standard</v>
      </c>
    </row>
    <row r="9" spans="1:5" x14ac:dyDescent="0.3">
      <c r="B9" s="4">
        <v>46039</v>
      </c>
      <c r="C9" s="7" t="s">
        <v>567</v>
      </c>
      <c r="D9" s="8">
        <v>149</v>
      </c>
      <c r="E9" s="7" t="str">
        <f t="shared" si="0"/>
        <v>Standard</v>
      </c>
    </row>
    <row r="10" spans="1:5" x14ac:dyDescent="0.3">
      <c r="B10" s="4">
        <v>46045</v>
      </c>
      <c r="C10" s="7" t="s">
        <v>567</v>
      </c>
      <c r="D10" s="8">
        <v>3148</v>
      </c>
      <c r="E10" s="7" t="str">
        <f t="shared" si="0"/>
        <v>Standard</v>
      </c>
    </row>
    <row r="11" spans="1:5" x14ac:dyDescent="0.3">
      <c r="A11" t="s">
        <v>568</v>
      </c>
      <c r="B11" s="4">
        <v>46029</v>
      </c>
      <c r="C11" s="7" t="s">
        <v>570</v>
      </c>
      <c r="D11" s="8">
        <v>499</v>
      </c>
      <c r="E11" s="7" t="str">
        <f t="shared" si="0"/>
        <v>Standard</v>
      </c>
    </row>
    <row r="12" spans="1:5" x14ac:dyDescent="0.3">
      <c r="B12" s="4">
        <v>46030</v>
      </c>
      <c r="C12" s="7" t="s">
        <v>570</v>
      </c>
      <c r="D12" s="8">
        <v>299</v>
      </c>
      <c r="E12" s="7" t="str">
        <f t="shared" si="0"/>
        <v>Standard</v>
      </c>
    </row>
    <row r="13" spans="1:5" x14ac:dyDescent="0.3">
      <c r="B13" s="4">
        <v>46034</v>
      </c>
      <c r="C13" s="7" t="s">
        <v>570</v>
      </c>
      <c r="D13" s="8">
        <v>348</v>
      </c>
      <c r="E13" s="7" t="str">
        <f t="shared" si="0"/>
        <v>Standard</v>
      </c>
    </row>
    <row r="14" spans="1:5" x14ac:dyDescent="0.3">
      <c r="B14" s="4">
        <v>46035</v>
      </c>
      <c r="C14" s="7" t="s">
        <v>570</v>
      </c>
      <c r="D14" s="8">
        <v>49</v>
      </c>
      <c r="E14" s="7" t="str">
        <f t="shared" si="0"/>
        <v>Standard</v>
      </c>
    </row>
    <row r="15" spans="1:5" x14ac:dyDescent="0.3">
      <c r="B15" s="4">
        <v>46037</v>
      </c>
      <c r="C15" s="7" t="s">
        <v>570</v>
      </c>
      <c r="D15" s="8">
        <v>1499</v>
      </c>
      <c r="E15" s="7" t="str">
        <f t="shared" si="0"/>
        <v>Standard</v>
      </c>
    </row>
    <row r="16" spans="1:5" x14ac:dyDescent="0.3">
      <c r="B16" s="4">
        <v>46041</v>
      </c>
      <c r="C16" s="7" t="s">
        <v>570</v>
      </c>
      <c r="D16" s="8">
        <v>49</v>
      </c>
      <c r="E16" s="7" t="str">
        <f t="shared" si="0"/>
        <v>Standard</v>
      </c>
    </row>
    <row r="17" spans="1:5" x14ac:dyDescent="0.3">
      <c r="B17" s="4">
        <v>46044</v>
      </c>
      <c r="C17" s="7" t="s">
        <v>570</v>
      </c>
      <c r="D17" s="8">
        <v>299</v>
      </c>
      <c r="E17" s="7" t="str">
        <f t="shared" si="0"/>
        <v>Standard</v>
      </c>
    </row>
    <row r="18" spans="1:5" x14ac:dyDescent="0.3">
      <c r="B18" s="4">
        <v>46048</v>
      </c>
      <c r="C18" s="7" t="s">
        <v>570</v>
      </c>
      <c r="D18" s="8">
        <v>299</v>
      </c>
      <c r="E18" s="7" t="str">
        <f t="shared" si="0"/>
        <v>Standard</v>
      </c>
    </row>
    <row r="19" spans="1:5" x14ac:dyDescent="0.3">
      <c r="B19" s="4">
        <v>46052</v>
      </c>
      <c r="C19" s="7" t="s">
        <v>570</v>
      </c>
      <c r="D19" s="8">
        <v>299</v>
      </c>
      <c r="E19" s="7" t="str">
        <f t="shared" si="0"/>
        <v>Standard</v>
      </c>
    </row>
    <row r="20" spans="1:5" x14ac:dyDescent="0.3">
      <c r="A20" t="s">
        <v>571</v>
      </c>
      <c r="B20" s="4">
        <v>46025</v>
      </c>
      <c r="C20" s="7" t="s">
        <v>572</v>
      </c>
      <c r="D20" s="8">
        <v>198</v>
      </c>
      <c r="E20" s="7" t="str">
        <f t="shared" si="0"/>
        <v>Standard</v>
      </c>
    </row>
    <row r="21" spans="1:5" x14ac:dyDescent="0.3">
      <c r="B21" s="4">
        <v>46027</v>
      </c>
      <c r="C21" s="7" t="s">
        <v>572</v>
      </c>
      <c r="D21" s="8">
        <v>99</v>
      </c>
      <c r="E21" s="7" t="str">
        <f t="shared" si="0"/>
        <v>Standard</v>
      </c>
    </row>
    <row r="22" spans="1:5" x14ac:dyDescent="0.3">
      <c r="B22" s="4">
        <v>46028</v>
      </c>
      <c r="C22" s="7" t="s">
        <v>572</v>
      </c>
      <c r="D22" s="8">
        <v>898</v>
      </c>
      <c r="E22" s="7" t="str">
        <f t="shared" si="0"/>
        <v>Standard</v>
      </c>
    </row>
    <row r="23" spans="1:5" x14ac:dyDescent="0.3">
      <c r="B23" s="4">
        <v>46029</v>
      </c>
      <c r="C23" s="7" t="s">
        <v>572</v>
      </c>
      <c r="D23" s="8">
        <v>798</v>
      </c>
      <c r="E23" s="7" t="str">
        <f t="shared" si="0"/>
        <v>Standard</v>
      </c>
    </row>
    <row r="24" spans="1:5" x14ac:dyDescent="0.3">
      <c r="B24" s="4">
        <v>46030</v>
      </c>
      <c r="C24" s="7" t="s">
        <v>572</v>
      </c>
      <c r="D24" s="8">
        <v>149</v>
      </c>
      <c r="E24" s="7" t="str">
        <f t="shared" si="0"/>
        <v>Standard</v>
      </c>
    </row>
    <row r="25" spans="1:5" x14ac:dyDescent="0.3">
      <c r="B25" s="4">
        <v>46035</v>
      </c>
      <c r="C25" s="7" t="s">
        <v>572</v>
      </c>
      <c r="D25" s="8">
        <v>198</v>
      </c>
      <c r="E25" s="7" t="str">
        <f t="shared" si="0"/>
        <v>Standard</v>
      </c>
    </row>
    <row r="26" spans="1:5" x14ac:dyDescent="0.3">
      <c r="B26" s="4">
        <v>46038</v>
      </c>
      <c r="C26" s="7" t="s">
        <v>572</v>
      </c>
      <c r="D26" s="8">
        <v>4999</v>
      </c>
      <c r="E26" s="7" t="str">
        <f t="shared" si="0"/>
        <v>Standard</v>
      </c>
    </row>
    <row r="27" spans="1:5" x14ac:dyDescent="0.3">
      <c r="B27" s="4">
        <v>46042</v>
      </c>
      <c r="C27" s="7" t="s">
        <v>572</v>
      </c>
      <c r="D27" s="8">
        <v>99</v>
      </c>
      <c r="E27" s="7" t="str">
        <f t="shared" si="0"/>
        <v>Standard</v>
      </c>
    </row>
    <row r="28" spans="1:5" x14ac:dyDescent="0.3">
      <c r="B28" s="4">
        <v>46044</v>
      </c>
      <c r="C28" s="7" t="s">
        <v>572</v>
      </c>
      <c r="D28" s="8">
        <v>499</v>
      </c>
      <c r="E28" s="7" t="str">
        <f t="shared" si="0"/>
        <v>Standard</v>
      </c>
    </row>
    <row r="29" spans="1:5" x14ac:dyDescent="0.3">
      <c r="B29" s="4">
        <v>46045</v>
      </c>
      <c r="C29" s="7" t="s">
        <v>572</v>
      </c>
      <c r="D29" s="8">
        <v>49</v>
      </c>
      <c r="E29" s="7" t="str">
        <f t="shared" si="0"/>
        <v>Standard</v>
      </c>
    </row>
    <row r="30" spans="1:5" x14ac:dyDescent="0.3">
      <c r="B30" s="4">
        <v>46048</v>
      </c>
      <c r="C30" s="7" t="s">
        <v>572</v>
      </c>
      <c r="D30" s="8">
        <v>149</v>
      </c>
      <c r="E30" s="7" t="str">
        <f t="shared" si="0"/>
        <v>Standard</v>
      </c>
    </row>
    <row r="31" spans="1:5" x14ac:dyDescent="0.3">
      <c r="B31" s="4">
        <v>46051</v>
      </c>
      <c r="C31" s="7" t="s">
        <v>572</v>
      </c>
      <c r="D31" s="8">
        <v>49</v>
      </c>
      <c r="E31" s="7" t="str">
        <f t="shared" si="0"/>
        <v>Standard</v>
      </c>
    </row>
    <row r="32" spans="1:5" x14ac:dyDescent="0.3">
      <c r="B32" s="4">
        <v>46052</v>
      </c>
      <c r="C32" s="7" t="s">
        <v>572</v>
      </c>
      <c r="D32" s="8">
        <v>49</v>
      </c>
      <c r="E32" s="7" t="str">
        <f t="shared" si="0"/>
        <v>Standard</v>
      </c>
    </row>
    <row r="33" spans="1:5" x14ac:dyDescent="0.3">
      <c r="A33" t="s">
        <v>573</v>
      </c>
      <c r="B33" s="4">
        <v>46024</v>
      </c>
      <c r="C33" s="7" t="s">
        <v>572</v>
      </c>
      <c r="D33" s="8">
        <v>149</v>
      </c>
      <c r="E33" s="7" t="str">
        <f t="shared" si="0"/>
        <v>Standard</v>
      </c>
    </row>
    <row r="34" spans="1:5" x14ac:dyDescent="0.3">
      <c r="B34" s="4">
        <v>46034</v>
      </c>
      <c r="C34" s="7" t="s">
        <v>572</v>
      </c>
      <c r="D34" s="8">
        <v>49</v>
      </c>
      <c r="E34" s="7" t="str">
        <f t="shared" si="0"/>
        <v>Standard</v>
      </c>
    </row>
    <row r="35" spans="1:5" x14ac:dyDescent="0.3">
      <c r="B35" s="4">
        <v>46035</v>
      </c>
      <c r="C35" s="7" t="s">
        <v>572</v>
      </c>
      <c r="D35" s="8">
        <v>948</v>
      </c>
      <c r="E35" s="7" t="str">
        <f t="shared" si="0"/>
        <v>Standard</v>
      </c>
    </row>
    <row r="36" spans="1:5" x14ac:dyDescent="0.3">
      <c r="B36" s="4">
        <v>46038</v>
      </c>
      <c r="C36" s="7" t="s">
        <v>572</v>
      </c>
      <c r="D36" s="8">
        <v>799</v>
      </c>
      <c r="E36" s="7" t="str">
        <f t="shared" si="0"/>
        <v>Standard</v>
      </c>
    </row>
    <row r="37" spans="1:5" x14ac:dyDescent="0.3">
      <c r="B37" s="4">
        <v>46039</v>
      </c>
      <c r="C37" s="7" t="s">
        <v>572</v>
      </c>
      <c r="D37" s="8">
        <v>1499</v>
      </c>
      <c r="E37" s="7" t="str">
        <f t="shared" si="0"/>
        <v>Standard</v>
      </c>
    </row>
    <row r="38" spans="1:5" x14ac:dyDescent="0.3">
      <c r="B38" s="4">
        <v>46046</v>
      </c>
      <c r="C38" s="7" t="s">
        <v>572</v>
      </c>
      <c r="D38" s="8">
        <v>1499</v>
      </c>
      <c r="E38" s="7" t="str">
        <f t="shared" si="0"/>
        <v>Standard</v>
      </c>
    </row>
    <row r="39" spans="1:5" x14ac:dyDescent="0.3">
      <c r="B39" s="4">
        <v>46047</v>
      </c>
      <c r="C39" s="7" t="s">
        <v>572</v>
      </c>
      <c r="D39" s="8">
        <v>1998</v>
      </c>
      <c r="E39" s="7" t="str">
        <f t="shared" si="0"/>
        <v>Standard</v>
      </c>
    </row>
    <row r="40" spans="1:5" x14ac:dyDescent="0.3">
      <c r="A40" t="s">
        <v>574</v>
      </c>
      <c r="B40" s="4">
        <v>46023</v>
      </c>
      <c r="C40" s="7" t="s">
        <v>567</v>
      </c>
      <c r="D40" s="8">
        <v>499</v>
      </c>
      <c r="E40" s="7" t="str">
        <f t="shared" si="0"/>
        <v>Standard</v>
      </c>
    </row>
    <row r="41" spans="1:5" x14ac:dyDescent="0.3">
      <c r="B41" s="4">
        <v>46025</v>
      </c>
      <c r="C41" s="7" t="s">
        <v>567</v>
      </c>
      <c r="D41" s="8">
        <v>499</v>
      </c>
      <c r="E41" s="7" t="str">
        <f t="shared" si="0"/>
        <v>Standard</v>
      </c>
    </row>
    <row r="42" spans="1:5" x14ac:dyDescent="0.3">
      <c r="B42" s="4">
        <v>46031</v>
      </c>
      <c r="C42" s="7" t="s">
        <v>567</v>
      </c>
      <c r="D42" s="8">
        <v>348</v>
      </c>
      <c r="E42" s="7" t="str">
        <f t="shared" si="0"/>
        <v>Standard</v>
      </c>
    </row>
    <row r="43" spans="1:5" x14ac:dyDescent="0.3">
      <c r="B43" s="4">
        <v>46032</v>
      </c>
      <c r="C43" s="7" t="s">
        <v>567</v>
      </c>
      <c r="D43" s="8">
        <v>99</v>
      </c>
      <c r="E43" s="7" t="str">
        <f t="shared" si="0"/>
        <v>Standard</v>
      </c>
    </row>
    <row r="44" spans="1:5" x14ac:dyDescent="0.3">
      <c r="B44" s="4">
        <v>46037</v>
      </c>
      <c r="C44" s="7" t="s">
        <v>567</v>
      </c>
      <c r="D44" s="8">
        <v>548</v>
      </c>
      <c r="E44" s="7" t="str">
        <f t="shared" si="0"/>
        <v>Standard</v>
      </c>
    </row>
    <row r="45" spans="1:5" x14ac:dyDescent="0.3">
      <c r="B45" s="4">
        <v>46039</v>
      </c>
      <c r="C45" s="7" t="s">
        <v>567</v>
      </c>
      <c r="D45" s="8">
        <v>499</v>
      </c>
      <c r="E45" s="7" t="str">
        <f t="shared" si="0"/>
        <v>Standard</v>
      </c>
    </row>
    <row r="46" spans="1:5" x14ac:dyDescent="0.3">
      <c r="B46" s="4">
        <v>46040</v>
      </c>
      <c r="C46" s="7" t="s">
        <v>567</v>
      </c>
      <c r="D46" s="8">
        <v>299</v>
      </c>
      <c r="E46" s="7" t="str">
        <f t="shared" si="0"/>
        <v>Standard</v>
      </c>
    </row>
    <row r="47" spans="1:5" x14ac:dyDescent="0.3">
      <c r="B47" s="4">
        <v>46041</v>
      </c>
      <c r="C47" s="7" t="s">
        <v>567</v>
      </c>
      <c r="D47" s="8">
        <v>49</v>
      </c>
      <c r="E47" s="7" t="str">
        <f t="shared" si="0"/>
        <v>Standard</v>
      </c>
    </row>
    <row r="48" spans="1:5" x14ac:dyDescent="0.3">
      <c r="B48" s="4">
        <v>46052</v>
      </c>
      <c r="C48" s="7" t="s">
        <v>567</v>
      </c>
      <c r="D48" s="8">
        <v>2999</v>
      </c>
      <c r="E48" s="7" t="str">
        <f t="shared" si="0"/>
        <v>Standard</v>
      </c>
    </row>
    <row r="49" spans="1:5" x14ac:dyDescent="0.3">
      <c r="A49" t="s">
        <v>576</v>
      </c>
      <c r="B49" s="4">
        <v>46023</v>
      </c>
      <c r="C49" s="7" t="s">
        <v>567</v>
      </c>
      <c r="D49" s="8">
        <v>49</v>
      </c>
      <c r="E49" s="7" t="str">
        <f t="shared" si="0"/>
        <v>Standard</v>
      </c>
    </row>
    <row r="50" spans="1:5" x14ac:dyDescent="0.3">
      <c r="B50" s="4">
        <v>46025</v>
      </c>
      <c r="C50" s="7" t="s">
        <v>567</v>
      </c>
      <c r="D50" s="8">
        <v>799</v>
      </c>
      <c r="E50" s="7" t="str">
        <f t="shared" si="0"/>
        <v>Standard</v>
      </c>
    </row>
    <row r="51" spans="1:5" x14ac:dyDescent="0.3">
      <c r="B51" s="4">
        <v>46027</v>
      </c>
      <c r="C51" s="7" t="s">
        <v>567</v>
      </c>
      <c r="D51" s="8">
        <v>1499</v>
      </c>
      <c r="E51" s="7" t="str">
        <f t="shared" si="0"/>
        <v>Standard</v>
      </c>
    </row>
    <row r="52" spans="1:5" x14ac:dyDescent="0.3">
      <c r="B52" s="4">
        <v>46030</v>
      </c>
      <c r="C52" s="7" t="s">
        <v>567</v>
      </c>
      <c r="D52" s="8">
        <v>149</v>
      </c>
      <c r="E52" s="7" t="str">
        <f t="shared" si="0"/>
        <v>Standard</v>
      </c>
    </row>
    <row r="53" spans="1:5" x14ac:dyDescent="0.3">
      <c r="B53" s="4">
        <v>46031</v>
      </c>
      <c r="C53" s="7" t="s">
        <v>567</v>
      </c>
      <c r="D53" s="8">
        <v>99</v>
      </c>
      <c r="E53" s="7" t="str">
        <f t="shared" si="0"/>
        <v>Standard</v>
      </c>
    </row>
    <row r="54" spans="1:5" x14ac:dyDescent="0.3">
      <c r="B54" s="4">
        <v>46033</v>
      </c>
      <c r="C54" s="7" t="s">
        <v>567</v>
      </c>
      <c r="D54" s="8">
        <v>1499</v>
      </c>
      <c r="E54" s="7" t="str">
        <f t="shared" si="0"/>
        <v>Standard</v>
      </c>
    </row>
    <row r="55" spans="1:5" x14ac:dyDescent="0.3">
      <c r="B55" s="4">
        <v>46035</v>
      </c>
      <c r="C55" s="7" t="s">
        <v>567</v>
      </c>
      <c r="D55" s="8">
        <v>1499</v>
      </c>
      <c r="E55" s="7" t="str">
        <f t="shared" si="0"/>
        <v>Standard</v>
      </c>
    </row>
    <row r="56" spans="1:5" x14ac:dyDescent="0.3">
      <c r="B56" s="4">
        <v>46037</v>
      </c>
      <c r="C56" s="7" t="s">
        <v>567</v>
      </c>
      <c r="D56" s="8">
        <v>49</v>
      </c>
      <c r="E56" s="7" t="str">
        <f t="shared" si="0"/>
        <v>Standard</v>
      </c>
    </row>
    <row r="57" spans="1:5" x14ac:dyDescent="0.3">
      <c r="B57" s="4">
        <v>46039</v>
      </c>
      <c r="C57" s="7" t="s">
        <v>567</v>
      </c>
      <c r="D57" s="8">
        <v>799</v>
      </c>
      <c r="E57" s="7" t="str">
        <f t="shared" si="0"/>
        <v>Standard</v>
      </c>
    </row>
    <row r="58" spans="1:5" x14ac:dyDescent="0.3">
      <c r="B58" s="4">
        <v>46041</v>
      </c>
      <c r="C58" s="7" t="s">
        <v>567</v>
      </c>
      <c r="D58" s="8">
        <v>49</v>
      </c>
      <c r="E58" s="7" t="str">
        <f t="shared" si="0"/>
        <v>Standard</v>
      </c>
    </row>
    <row r="59" spans="1:5" x14ac:dyDescent="0.3">
      <c r="B59" s="4">
        <v>46043</v>
      </c>
      <c r="C59" s="7" t="s">
        <v>567</v>
      </c>
      <c r="D59" s="8">
        <v>49</v>
      </c>
      <c r="E59" s="7" t="str">
        <f t="shared" si="0"/>
        <v>Standard</v>
      </c>
    </row>
    <row r="60" spans="1:5" x14ac:dyDescent="0.3">
      <c r="B60" s="4">
        <v>46048</v>
      </c>
      <c r="C60" s="7" t="s">
        <v>567</v>
      </c>
      <c r="D60" s="8">
        <v>897</v>
      </c>
      <c r="E60" s="7" t="str">
        <f t="shared" si="0"/>
        <v>Standard</v>
      </c>
    </row>
    <row r="61" spans="1:5" x14ac:dyDescent="0.3">
      <c r="A61" t="s">
        <v>578</v>
      </c>
      <c r="B61" s="4">
        <v>46024</v>
      </c>
      <c r="C61" s="7" t="s">
        <v>572</v>
      </c>
      <c r="D61" s="8">
        <v>3797</v>
      </c>
      <c r="E61" s="7" t="str">
        <f t="shared" si="0"/>
        <v>Standard</v>
      </c>
    </row>
    <row r="62" spans="1:5" x14ac:dyDescent="0.3">
      <c r="B62" s="4">
        <v>46025</v>
      </c>
      <c r="C62" s="7" t="s">
        <v>572</v>
      </c>
      <c r="D62" s="8">
        <v>149</v>
      </c>
      <c r="E62" s="7" t="str">
        <f t="shared" si="0"/>
        <v>Standard</v>
      </c>
    </row>
    <row r="63" spans="1:5" x14ac:dyDescent="0.3">
      <c r="B63" s="4">
        <v>46027</v>
      </c>
      <c r="C63" s="7" t="s">
        <v>572</v>
      </c>
      <c r="D63" s="8">
        <v>4498</v>
      </c>
      <c r="E63" s="7" t="str">
        <f t="shared" si="0"/>
        <v>Standard</v>
      </c>
    </row>
    <row r="64" spans="1:5" x14ac:dyDescent="0.3">
      <c r="B64" s="4">
        <v>46030</v>
      </c>
      <c r="C64" s="7" t="s">
        <v>572</v>
      </c>
      <c r="D64" s="8">
        <v>299</v>
      </c>
      <c r="E64" s="7" t="str">
        <f t="shared" si="0"/>
        <v>Standard</v>
      </c>
    </row>
    <row r="65" spans="1:5" x14ac:dyDescent="0.3">
      <c r="B65" s="4">
        <v>46032</v>
      </c>
      <c r="C65" s="7" t="s">
        <v>572</v>
      </c>
      <c r="D65" s="8">
        <v>499</v>
      </c>
      <c r="E65" s="7" t="str">
        <f t="shared" si="0"/>
        <v>Standard</v>
      </c>
    </row>
    <row r="66" spans="1:5" x14ac:dyDescent="0.3">
      <c r="B66" s="4">
        <v>46037</v>
      </c>
      <c r="C66" s="7" t="s">
        <v>572</v>
      </c>
      <c r="D66" s="8">
        <v>1648</v>
      </c>
      <c r="E66" s="7" t="str">
        <f t="shared" si="0"/>
        <v>Standard</v>
      </c>
    </row>
    <row r="67" spans="1:5" x14ac:dyDescent="0.3">
      <c r="B67" s="4">
        <v>46039</v>
      </c>
      <c r="C67" s="7" t="s">
        <v>572</v>
      </c>
      <c r="D67" s="8">
        <v>149</v>
      </c>
      <c r="E67" s="7" t="str">
        <f t="shared" si="0"/>
        <v>Standard</v>
      </c>
    </row>
    <row r="68" spans="1:5" x14ac:dyDescent="0.3">
      <c r="B68" s="4">
        <v>46043</v>
      </c>
      <c r="C68" s="7" t="s">
        <v>572</v>
      </c>
      <c r="D68" s="8">
        <v>1499</v>
      </c>
      <c r="E68" s="7" t="str">
        <f t="shared" si="0"/>
        <v>Standard</v>
      </c>
    </row>
    <row r="69" spans="1:5" x14ac:dyDescent="0.3">
      <c r="B69" s="4">
        <v>46046</v>
      </c>
      <c r="C69" s="7" t="s">
        <v>572</v>
      </c>
      <c r="D69" s="8">
        <v>1298</v>
      </c>
      <c r="E69" s="7" t="str">
        <f t="shared" ref="E69:E132" si="1">IF(AND(D69 &gt; 5000, C69 &lt;&gt; "East"), "High-Value Merchant Day", "Standard")</f>
        <v>Standard</v>
      </c>
    </row>
    <row r="70" spans="1:5" x14ac:dyDescent="0.3">
      <c r="B70" s="4">
        <v>46047</v>
      </c>
      <c r="C70" s="7" t="s">
        <v>572</v>
      </c>
      <c r="D70" s="8">
        <v>99</v>
      </c>
      <c r="E70" s="7" t="str">
        <f t="shared" si="1"/>
        <v>Standard</v>
      </c>
    </row>
    <row r="71" spans="1:5" x14ac:dyDescent="0.3">
      <c r="B71" s="4">
        <v>46052</v>
      </c>
      <c r="C71" s="7" t="s">
        <v>572</v>
      </c>
      <c r="D71" s="8">
        <v>1999</v>
      </c>
      <c r="E71" s="7" t="str">
        <f t="shared" si="1"/>
        <v>Standard</v>
      </c>
    </row>
    <row r="72" spans="1:5" x14ac:dyDescent="0.3">
      <c r="A72" t="s">
        <v>579</v>
      </c>
      <c r="B72" s="4">
        <v>46024</v>
      </c>
      <c r="C72" s="7" t="s">
        <v>580</v>
      </c>
      <c r="D72" s="8">
        <v>299</v>
      </c>
      <c r="E72" s="7" t="str">
        <f t="shared" si="1"/>
        <v>Standard</v>
      </c>
    </row>
    <row r="73" spans="1:5" x14ac:dyDescent="0.3">
      <c r="B73" s="4">
        <v>46025</v>
      </c>
      <c r="C73" s="7" t="s">
        <v>580</v>
      </c>
      <c r="D73" s="8">
        <v>299</v>
      </c>
      <c r="E73" s="7" t="str">
        <f t="shared" si="1"/>
        <v>Standard</v>
      </c>
    </row>
    <row r="74" spans="1:5" x14ac:dyDescent="0.3">
      <c r="B74" s="4">
        <v>46028</v>
      </c>
      <c r="C74" s="7" t="s">
        <v>580</v>
      </c>
      <c r="D74" s="8">
        <v>49</v>
      </c>
      <c r="E74" s="7" t="str">
        <f t="shared" si="1"/>
        <v>Standard</v>
      </c>
    </row>
    <row r="75" spans="1:5" x14ac:dyDescent="0.3">
      <c r="B75" s="4">
        <v>46030</v>
      </c>
      <c r="C75" s="7" t="s">
        <v>580</v>
      </c>
      <c r="D75" s="8">
        <v>99</v>
      </c>
      <c r="E75" s="7" t="str">
        <f t="shared" si="1"/>
        <v>Standard</v>
      </c>
    </row>
    <row r="76" spans="1:5" x14ac:dyDescent="0.3">
      <c r="B76" s="4">
        <v>46033</v>
      </c>
      <c r="C76" s="7" t="s">
        <v>580</v>
      </c>
      <c r="D76" s="8">
        <v>149</v>
      </c>
      <c r="E76" s="7" t="str">
        <f t="shared" si="1"/>
        <v>Standard</v>
      </c>
    </row>
    <row r="77" spans="1:5" x14ac:dyDescent="0.3">
      <c r="B77" s="4">
        <v>46034</v>
      </c>
      <c r="C77" s="7" t="s">
        <v>580</v>
      </c>
      <c r="D77" s="8">
        <v>398</v>
      </c>
      <c r="E77" s="7" t="str">
        <f t="shared" si="1"/>
        <v>Standard</v>
      </c>
    </row>
    <row r="78" spans="1:5" x14ac:dyDescent="0.3">
      <c r="B78" s="4">
        <v>46038</v>
      </c>
      <c r="C78" s="7" t="s">
        <v>580</v>
      </c>
      <c r="D78" s="8">
        <v>2999</v>
      </c>
      <c r="E78" s="7" t="str">
        <f t="shared" si="1"/>
        <v>Standard</v>
      </c>
    </row>
    <row r="79" spans="1:5" x14ac:dyDescent="0.3">
      <c r="B79" s="4">
        <v>46039</v>
      </c>
      <c r="C79" s="7" t="s">
        <v>580</v>
      </c>
      <c r="D79" s="8">
        <v>348</v>
      </c>
      <c r="E79" s="7" t="str">
        <f t="shared" si="1"/>
        <v>Standard</v>
      </c>
    </row>
    <row r="80" spans="1:5" x14ac:dyDescent="0.3">
      <c r="B80" s="4">
        <v>46040</v>
      </c>
      <c r="C80" s="7" t="s">
        <v>580</v>
      </c>
      <c r="D80" s="8">
        <v>499</v>
      </c>
      <c r="E80" s="7" t="str">
        <f t="shared" si="1"/>
        <v>Standard</v>
      </c>
    </row>
    <row r="81" spans="1:5" x14ac:dyDescent="0.3">
      <c r="B81" s="4">
        <v>46041</v>
      </c>
      <c r="C81" s="7" t="s">
        <v>580</v>
      </c>
      <c r="D81" s="8">
        <v>99</v>
      </c>
      <c r="E81" s="7" t="str">
        <f t="shared" si="1"/>
        <v>Standard</v>
      </c>
    </row>
    <row r="82" spans="1:5" x14ac:dyDescent="0.3">
      <c r="B82" s="4">
        <v>46048</v>
      </c>
      <c r="C82" s="7" t="s">
        <v>580</v>
      </c>
      <c r="D82" s="8">
        <v>598</v>
      </c>
      <c r="E82" s="7" t="str">
        <f t="shared" si="1"/>
        <v>Standard</v>
      </c>
    </row>
    <row r="83" spans="1:5" x14ac:dyDescent="0.3">
      <c r="B83" s="4">
        <v>46049</v>
      </c>
      <c r="C83" s="7" t="s">
        <v>580</v>
      </c>
      <c r="D83" s="8">
        <v>1499</v>
      </c>
      <c r="E83" s="7" t="str">
        <f t="shared" si="1"/>
        <v>Standard</v>
      </c>
    </row>
    <row r="84" spans="1:5" x14ac:dyDescent="0.3">
      <c r="B84" s="4">
        <v>46052</v>
      </c>
      <c r="C84" s="7" t="s">
        <v>580</v>
      </c>
      <c r="D84" s="8">
        <v>99</v>
      </c>
      <c r="E84" s="7" t="str">
        <f t="shared" si="1"/>
        <v>Standard</v>
      </c>
    </row>
    <row r="85" spans="1:5" x14ac:dyDescent="0.3">
      <c r="A85" t="s">
        <v>581</v>
      </c>
      <c r="B85" s="4">
        <v>46023</v>
      </c>
      <c r="C85" s="7" t="s">
        <v>580</v>
      </c>
      <c r="D85" s="8">
        <v>499</v>
      </c>
      <c r="E85" s="7" t="str">
        <f t="shared" si="1"/>
        <v>Standard</v>
      </c>
    </row>
    <row r="86" spans="1:5" x14ac:dyDescent="0.3">
      <c r="B86" s="4">
        <v>46026</v>
      </c>
      <c r="C86" s="7" t="s">
        <v>580</v>
      </c>
      <c r="D86" s="8">
        <v>499</v>
      </c>
      <c r="E86" s="7" t="str">
        <f t="shared" si="1"/>
        <v>Standard</v>
      </c>
    </row>
    <row r="87" spans="1:5" x14ac:dyDescent="0.3">
      <c r="B87" s="4">
        <v>46027</v>
      </c>
      <c r="C87" s="7" t="s">
        <v>580</v>
      </c>
      <c r="D87" s="8">
        <v>149</v>
      </c>
      <c r="E87" s="7" t="str">
        <f t="shared" si="1"/>
        <v>Standard</v>
      </c>
    </row>
    <row r="88" spans="1:5" x14ac:dyDescent="0.3">
      <c r="B88" s="4">
        <v>46028</v>
      </c>
      <c r="C88" s="7" t="s">
        <v>580</v>
      </c>
      <c r="D88" s="8">
        <v>149</v>
      </c>
      <c r="E88" s="7" t="str">
        <f t="shared" si="1"/>
        <v>Standard</v>
      </c>
    </row>
    <row r="89" spans="1:5" x14ac:dyDescent="0.3">
      <c r="B89" s="4">
        <v>46031</v>
      </c>
      <c r="C89" s="7" t="s">
        <v>580</v>
      </c>
      <c r="D89" s="8">
        <v>99</v>
      </c>
      <c r="E89" s="7" t="str">
        <f t="shared" si="1"/>
        <v>Standard</v>
      </c>
    </row>
    <row r="90" spans="1:5" x14ac:dyDescent="0.3">
      <c r="B90" s="4">
        <v>46032</v>
      </c>
      <c r="C90" s="7" t="s">
        <v>580</v>
      </c>
      <c r="D90" s="8">
        <v>49</v>
      </c>
      <c r="E90" s="7" t="str">
        <f t="shared" si="1"/>
        <v>Standard</v>
      </c>
    </row>
    <row r="91" spans="1:5" x14ac:dyDescent="0.3">
      <c r="B91" s="4">
        <v>46034</v>
      </c>
      <c r="C91" s="7" t="s">
        <v>580</v>
      </c>
      <c r="D91" s="8">
        <v>299</v>
      </c>
      <c r="E91" s="7" t="str">
        <f t="shared" si="1"/>
        <v>Standard</v>
      </c>
    </row>
    <row r="92" spans="1:5" x14ac:dyDescent="0.3">
      <c r="B92" s="4">
        <v>46037</v>
      </c>
      <c r="C92" s="7" t="s">
        <v>580</v>
      </c>
      <c r="D92" s="8">
        <v>148</v>
      </c>
      <c r="E92" s="7" t="str">
        <f t="shared" si="1"/>
        <v>Standard</v>
      </c>
    </row>
    <row r="93" spans="1:5" x14ac:dyDescent="0.3">
      <c r="B93" s="4">
        <v>46039</v>
      </c>
      <c r="C93" s="7" t="s">
        <v>580</v>
      </c>
      <c r="D93" s="8">
        <v>248</v>
      </c>
      <c r="E93" s="7" t="str">
        <f t="shared" si="1"/>
        <v>Standard</v>
      </c>
    </row>
    <row r="94" spans="1:5" x14ac:dyDescent="0.3">
      <c r="B94" s="4">
        <v>46040</v>
      </c>
      <c r="C94" s="7" t="s">
        <v>580</v>
      </c>
      <c r="D94" s="8">
        <v>299</v>
      </c>
      <c r="E94" s="7" t="str">
        <f t="shared" si="1"/>
        <v>Standard</v>
      </c>
    </row>
    <row r="95" spans="1:5" x14ac:dyDescent="0.3">
      <c r="B95" s="4">
        <v>46041</v>
      </c>
      <c r="C95" s="7" t="s">
        <v>580</v>
      </c>
      <c r="D95" s="8">
        <v>299</v>
      </c>
      <c r="E95" s="7" t="str">
        <f t="shared" si="1"/>
        <v>Standard</v>
      </c>
    </row>
    <row r="96" spans="1:5" x14ac:dyDescent="0.3">
      <c r="B96" s="4">
        <v>46044</v>
      </c>
      <c r="C96" s="7" t="s">
        <v>580</v>
      </c>
      <c r="D96" s="8">
        <v>1298</v>
      </c>
      <c r="E96" s="7" t="str">
        <f t="shared" si="1"/>
        <v>Standard</v>
      </c>
    </row>
    <row r="97" spans="1:5" x14ac:dyDescent="0.3">
      <c r="B97" s="4">
        <v>46045</v>
      </c>
      <c r="C97" s="7" t="s">
        <v>580</v>
      </c>
      <c r="D97" s="8">
        <v>898</v>
      </c>
      <c r="E97" s="7" t="str">
        <f t="shared" si="1"/>
        <v>Standard</v>
      </c>
    </row>
    <row r="98" spans="1:5" x14ac:dyDescent="0.3">
      <c r="B98" s="4">
        <v>46051</v>
      </c>
      <c r="C98" s="7" t="s">
        <v>580</v>
      </c>
      <c r="D98" s="8">
        <v>49</v>
      </c>
      <c r="E98" s="7" t="str">
        <f t="shared" si="1"/>
        <v>Standard</v>
      </c>
    </row>
    <row r="99" spans="1:5" x14ac:dyDescent="0.3">
      <c r="A99" t="s">
        <v>582</v>
      </c>
      <c r="B99" s="4">
        <v>46027</v>
      </c>
      <c r="C99" s="7" t="s">
        <v>570</v>
      </c>
      <c r="D99" s="8">
        <v>49</v>
      </c>
      <c r="E99" s="7" t="str">
        <f t="shared" si="1"/>
        <v>Standard</v>
      </c>
    </row>
    <row r="100" spans="1:5" x14ac:dyDescent="0.3">
      <c r="B100" s="4">
        <v>46030</v>
      </c>
      <c r="C100" s="7" t="s">
        <v>570</v>
      </c>
      <c r="D100" s="8">
        <v>799</v>
      </c>
      <c r="E100" s="7" t="str">
        <f t="shared" si="1"/>
        <v>Standard</v>
      </c>
    </row>
    <row r="101" spans="1:5" x14ac:dyDescent="0.3">
      <c r="B101" s="4">
        <v>46033</v>
      </c>
      <c r="C101" s="7" t="s">
        <v>570</v>
      </c>
      <c r="D101" s="8">
        <v>98</v>
      </c>
      <c r="E101" s="7" t="str">
        <f t="shared" si="1"/>
        <v>Standard</v>
      </c>
    </row>
    <row r="102" spans="1:5" x14ac:dyDescent="0.3">
      <c r="B102" s="4">
        <v>46034</v>
      </c>
      <c r="C102" s="7" t="s">
        <v>570</v>
      </c>
      <c r="D102" s="8">
        <v>399</v>
      </c>
      <c r="E102" s="7" t="str">
        <f t="shared" si="1"/>
        <v>Standard</v>
      </c>
    </row>
    <row r="103" spans="1:5" x14ac:dyDescent="0.3">
      <c r="B103" s="4">
        <v>46035</v>
      </c>
      <c r="C103" s="7" t="s">
        <v>570</v>
      </c>
      <c r="D103" s="8">
        <v>1499</v>
      </c>
      <c r="E103" s="7" t="str">
        <f t="shared" si="1"/>
        <v>Standard</v>
      </c>
    </row>
    <row r="104" spans="1:5" x14ac:dyDescent="0.3">
      <c r="B104" s="4">
        <v>46036</v>
      </c>
      <c r="C104" s="7" t="s">
        <v>570</v>
      </c>
      <c r="D104" s="8">
        <v>499</v>
      </c>
      <c r="E104" s="7" t="str">
        <f t="shared" si="1"/>
        <v>Standard</v>
      </c>
    </row>
    <row r="105" spans="1:5" x14ac:dyDescent="0.3">
      <c r="B105" s="4">
        <v>46037</v>
      </c>
      <c r="C105" s="7" t="s">
        <v>570</v>
      </c>
      <c r="D105" s="8">
        <v>2999</v>
      </c>
      <c r="E105" s="7" t="str">
        <f t="shared" si="1"/>
        <v>Standard</v>
      </c>
    </row>
    <row r="106" spans="1:5" x14ac:dyDescent="0.3">
      <c r="B106" s="4">
        <v>46038</v>
      </c>
      <c r="C106" s="7" t="s">
        <v>570</v>
      </c>
      <c r="D106" s="8">
        <v>49</v>
      </c>
      <c r="E106" s="7" t="str">
        <f t="shared" si="1"/>
        <v>Standard</v>
      </c>
    </row>
    <row r="107" spans="1:5" x14ac:dyDescent="0.3">
      <c r="B107" s="4">
        <v>46041</v>
      </c>
      <c r="C107" s="7" t="s">
        <v>570</v>
      </c>
      <c r="D107" s="8">
        <v>499</v>
      </c>
      <c r="E107" s="7" t="str">
        <f t="shared" si="1"/>
        <v>Standard</v>
      </c>
    </row>
    <row r="108" spans="1:5" x14ac:dyDescent="0.3">
      <c r="B108" s="4">
        <v>46042</v>
      </c>
      <c r="C108" s="7" t="s">
        <v>570</v>
      </c>
      <c r="D108" s="8">
        <v>4999</v>
      </c>
      <c r="E108" s="7" t="str">
        <f t="shared" si="1"/>
        <v>Standard</v>
      </c>
    </row>
    <row r="109" spans="1:5" x14ac:dyDescent="0.3">
      <c r="B109" s="4">
        <v>46043</v>
      </c>
      <c r="C109" s="7" t="s">
        <v>570</v>
      </c>
      <c r="D109" s="8">
        <v>398</v>
      </c>
      <c r="E109" s="7" t="str">
        <f t="shared" si="1"/>
        <v>Standard</v>
      </c>
    </row>
    <row r="110" spans="1:5" x14ac:dyDescent="0.3">
      <c r="B110" s="4">
        <v>46051</v>
      </c>
      <c r="C110" s="7" t="s">
        <v>570</v>
      </c>
      <c r="D110" s="8">
        <v>799</v>
      </c>
      <c r="E110" s="7" t="str">
        <f t="shared" si="1"/>
        <v>Standard</v>
      </c>
    </row>
    <row r="111" spans="1:5" x14ac:dyDescent="0.3">
      <c r="A111" t="s">
        <v>583</v>
      </c>
      <c r="B111" s="4">
        <v>46026</v>
      </c>
      <c r="C111" s="7" t="s">
        <v>580</v>
      </c>
      <c r="D111" s="8">
        <v>1499</v>
      </c>
      <c r="E111" s="7" t="str">
        <f t="shared" si="1"/>
        <v>Standard</v>
      </c>
    </row>
    <row r="112" spans="1:5" x14ac:dyDescent="0.3">
      <c r="B112" s="4">
        <v>46028</v>
      </c>
      <c r="C112" s="7" t="s">
        <v>580</v>
      </c>
      <c r="D112" s="8">
        <v>1499</v>
      </c>
      <c r="E112" s="7" t="str">
        <f t="shared" si="1"/>
        <v>Standard</v>
      </c>
    </row>
    <row r="113" spans="1:5" x14ac:dyDescent="0.3">
      <c r="B113" s="4">
        <v>46029</v>
      </c>
      <c r="C113" s="7" t="s">
        <v>580</v>
      </c>
      <c r="D113" s="8">
        <v>49</v>
      </c>
      <c r="E113" s="7" t="str">
        <f t="shared" si="1"/>
        <v>Standard</v>
      </c>
    </row>
    <row r="114" spans="1:5" x14ac:dyDescent="0.3">
      <c r="B114" s="4">
        <v>46033</v>
      </c>
      <c r="C114" s="7" t="s">
        <v>580</v>
      </c>
      <c r="D114" s="8">
        <v>4999</v>
      </c>
      <c r="E114" s="7" t="str">
        <f t="shared" si="1"/>
        <v>Standard</v>
      </c>
    </row>
    <row r="115" spans="1:5" x14ac:dyDescent="0.3">
      <c r="B115" s="4">
        <v>46040</v>
      </c>
      <c r="C115" s="7" t="s">
        <v>580</v>
      </c>
      <c r="D115" s="8">
        <v>499</v>
      </c>
      <c r="E115" s="7" t="str">
        <f t="shared" si="1"/>
        <v>Standard</v>
      </c>
    </row>
    <row r="116" spans="1:5" x14ac:dyDescent="0.3">
      <c r="B116" s="4">
        <v>46042</v>
      </c>
      <c r="C116" s="7" t="s">
        <v>580</v>
      </c>
      <c r="D116" s="8">
        <v>299</v>
      </c>
      <c r="E116" s="7" t="str">
        <f t="shared" si="1"/>
        <v>Standard</v>
      </c>
    </row>
    <row r="117" spans="1:5" x14ac:dyDescent="0.3">
      <c r="B117" s="4">
        <v>46043</v>
      </c>
      <c r="C117" s="7" t="s">
        <v>580</v>
      </c>
      <c r="D117" s="8">
        <v>149</v>
      </c>
      <c r="E117" s="7" t="str">
        <f t="shared" si="1"/>
        <v>Standard</v>
      </c>
    </row>
    <row r="118" spans="1:5" x14ac:dyDescent="0.3">
      <c r="B118" s="4">
        <v>46046</v>
      </c>
      <c r="C118" s="7" t="s">
        <v>580</v>
      </c>
      <c r="D118" s="8">
        <v>1798</v>
      </c>
      <c r="E118" s="7" t="str">
        <f t="shared" si="1"/>
        <v>Standard</v>
      </c>
    </row>
    <row r="119" spans="1:5" x14ac:dyDescent="0.3">
      <c r="B119" s="4">
        <v>46051</v>
      </c>
      <c r="C119" s="7" t="s">
        <v>580</v>
      </c>
      <c r="D119" s="8">
        <v>149</v>
      </c>
      <c r="E119" s="7" t="str">
        <f t="shared" si="1"/>
        <v>Standard</v>
      </c>
    </row>
    <row r="120" spans="1:5" x14ac:dyDescent="0.3">
      <c r="A120" t="s">
        <v>584</v>
      </c>
      <c r="B120" s="4">
        <v>46023</v>
      </c>
      <c r="C120" s="7" t="s">
        <v>572</v>
      </c>
      <c r="D120" s="8">
        <v>548</v>
      </c>
      <c r="E120" s="7" t="str">
        <f t="shared" si="1"/>
        <v>Standard</v>
      </c>
    </row>
    <row r="121" spans="1:5" x14ac:dyDescent="0.3">
      <c r="B121" s="4">
        <v>46031</v>
      </c>
      <c r="C121" s="7" t="s">
        <v>572</v>
      </c>
      <c r="D121" s="8">
        <v>799</v>
      </c>
      <c r="E121" s="7" t="str">
        <f t="shared" si="1"/>
        <v>Standard</v>
      </c>
    </row>
    <row r="122" spans="1:5" x14ac:dyDescent="0.3">
      <c r="B122" s="4">
        <v>46034</v>
      </c>
      <c r="C122" s="7" t="s">
        <v>572</v>
      </c>
      <c r="D122" s="8">
        <v>1998</v>
      </c>
      <c r="E122" s="7" t="str">
        <f t="shared" si="1"/>
        <v>Standard</v>
      </c>
    </row>
    <row r="123" spans="1:5" x14ac:dyDescent="0.3">
      <c r="B123" s="4">
        <v>46036</v>
      </c>
      <c r="C123" s="7" t="s">
        <v>572</v>
      </c>
      <c r="D123" s="8">
        <v>548</v>
      </c>
      <c r="E123" s="7" t="str">
        <f t="shared" si="1"/>
        <v>Standard</v>
      </c>
    </row>
    <row r="124" spans="1:5" x14ac:dyDescent="0.3">
      <c r="B124" s="4">
        <v>46040</v>
      </c>
      <c r="C124" s="7" t="s">
        <v>572</v>
      </c>
      <c r="D124" s="8">
        <v>799</v>
      </c>
      <c r="E124" s="7" t="str">
        <f t="shared" si="1"/>
        <v>Standard</v>
      </c>
    </row>
    <row r="125" spans="1:5" x14ac:dyDescent="0.3">
      <c r="B125" s="4">
        <v>46044</v>
      </c>
      <c r="C125" s="7" t="s">
        <v>572</v>
      </c>
      <c r="D125" s="8">
        <v>99</v>
      </c>
      <c r="E125" s="7" t="str">
        <f t="shared" si="1"/>
        <v>Standard</v>
      </c>
    </row>
    <row r="126" spans="1:5" x14ac:dyDescent="0.3">
      <c r="B126" s="4">
        <v>46045</v>
      </c>
      <c r="C126" s="7" t="s">
        <v>572</v>
      </c>
      <c r="D126" s="8">
        <v>448</v>
      </c>
      <c r="E126" s="7" t="str">
        <f t="shared" si="1"/>
        <v>Standard</v>
      </c>
    </row>
    <row r="127" spans="1:5" x14ac:dyDescent="0.3">
      <c r="B127" s="4">
        <v>46049</v>
      </c>
      <c r="C127" s="7" t="s">
        <v>572</v>
      </c>
      <c r="D127" s="8">
        <v>149</v>
      </c>
      <c r="E127" s="7" t="str">
        <f t="shared" si="1"/>
        <v>Standard</v>
      </c>
    </row>
    <row r="128" spans="1:5" x14ac:dyDescent="0.3">
      <c r="B128" s="4">
        <v>46052</v>
      </c>
      <c r="C128" s="7" t="s">
        <v>572</v>
      </c>
      <c r="D128" s="8">
        <v>4999</v>
      </c>
      <c r="E128" s="7" t="str">
        <f t="shared" si="1"/>
        <v>Standard</v>
      </c>
    </row>
    <row r="129" spans="1:5" x14ac:dyDescent="0.3">
      <c r="A129" t="s">
        <v>585</v>
      </c>
      <c r="B129" s="4">
        <v>46030</v>
      </c>
      <c r="C129" s="7" t="s">
        <v>572</v>
      </c>
      <c r="D129" s="8">
        <v>149</v>
      </c>
      <c r="E129" s="7" t="str">
        <f t="shared" si="1"/>
        <v>Standard</v>
      </c>
    </row>
    <row r="130" spans="1:5" x14ac:dyDescent="0.3">
      <c r="B130" s="4">
        <v>46031</v>
      </c>
      <c r="C130" s="7" t="s">
        <v>572</v>
      </c>
      <c r="D130" s="8">
        <v>198</v>
      </c>
      <c r="E130" s="7" t="str">
        <f t="shared" si="1"/>
        <v>Standard</v>
      </c>
    </row>
    <row r="131" spans="1:5" x14ac:dyDescent="0.3">
      <c r="B131" s="4">
        <v>46032</v>
      </c>
      <c r="C131" s="7" t="s">
        <v>572</v>
      </c>
      <c r="D131" s="8">
        <v>99</v>
      </c>
      <c r="E131" s="7" t="str">
        <f t="shared" si="1"/>
        <v>Standard</v>
      </c>
    </row>
    <row r="132" spans="1:5" x14ac:dyDescent="0.3">
      <c r="B132" s="4">
        <v>46036</v>
      </c>
      <c r="C132" s="7" t="s">
        <v>572</v>
      </c>
      <c r="D132" s="8">
        <v>1499</v>
      </c>
      <c r="E132" s="7" t="str">
        <f t="shared" si="1"/>
        <v>Standard</v>
      </c>
    </row>
    <row r="133" spans="1:5" x14ac:dyDescent="0.3">
      <c r="B133" s="4">
        <v>46037</v>
      </c>
      <c r="C133" s="7" t="s">
        <v>572</v>
      </c>
      <c r="D133" s="8">
        <v>49</v>
      </c>
      <c r="E133" s="7" t="str">
        <f t="shared" ref="E133:E196" si="2">IF(AND(D133 &gt; 5000, C133 &lt;&gt; "East"), "High-Value Merchant Day", "Standard")</f>
        <v>Standard</v>
      </c>
    </row>
    <row r="134" spans="1:5" x14ac:dyDescent="0.3">
      <c r="B134" s="4">
        <v>46042</v>
      </c>
      <c r="C134" s="7" t="s">
        <v>572</v>
      </c>
      <c r="D134" s="8">
        <v>4999</v>
      </c>
      <c r="E134" s="7" t="str">
        <f t="shared" si="2"/>
        <v>Standard</v>
      </c>
    </row>
    <row r="135" spans="1:5" x14ac:dyDescent="0.3">
      <c r="B135" s="4">
        <v>46043</v>
      </c>
      <c r="C135" s="7" t="s">
        <v>572</v>
      </c>
      <c r="D135" s="8">
        <v>4999</v>
      </c>
      <c r="E135" s="7" t="str">
        <f t="shared" si="2"/>
        <v>Standard</v>
      </c>
    </row>
    <row r="136" spans="1:5" x14ac:dyDescent="0.3">
      <c r="B136" s="4">
        <v>46046</v>
      </c>
      <c r="C136" s="7" t="s">
        <v>572</v>
      </c>
      <c r="D136" s="8">
        <v>2999</v>
      </c>
      <c r="E136" s="7" t="str">
        <f t="shared" si="2"/>
        <v>Standard</v>
      </c>
    </row>
    <row r="137" spans="1:5" x14ac:dyDescent="0.3">
      <c r="B137" s="4">
        <v>46048</v>
      </c>
      <c r="C137" s="7" t="s">
        <v>572</v>
      </c>
      <c r="D137" s="8">
        <v>299</v>
      </c>
      <c r="E137" s="7" t="str">
        <f t="shared" si="2"/>
        <v>Standard</v>
      </c>
    </row>
    <row r="138" spans="1:5" x14ac:dyDescent="0.3">
      <c r="B138" s="4">
        <v>46049</v>
      </c>
      <c r="C138" s="7" t="s">
        <v>572</v>
      </c>
      <c r="D138" s="8">
        <v>99</v>
      </c>
      <c r="E138" s="7" t="str">
        <f t="shared" si="2"/>
        <v>Standard</v>
      </c>
    </row>
    <row r="139" spans="1:5" x14ac:dyDescent="0.3">
      <c r="B139" s="4">
        <v>46050</v>
      </c>
      <c r="C139" s="7" t="s">
        <v>572</v>
      </c>
      <c r="D139" s="8">
        <v>2999</v>
      </c>
      <c r="E139" s="7" t="str">
        <f t="shared" si="2"/>
        <v>Standard</v>
      </c>
    </row>
    <row r="140" spans="1:5" x14ac:dyDescent="0.3">
      <c r="A140" t="s">
        <v>587</v>
      </c>
      <c r="B140" s="4">
        <v>46023</v>
      </c>
      <c r="C140" s="7" t="s">
        <v>572</v>
      </c>
      <c r="D140" s="8">
        <v>299</v>
      </c>
      <c r="E140" s="7" t="str">
        <f t="shared" si="2"/>
        <v>Standard</v>
      </c>
    </row>
    <row r="141" spans="1:5" x14ac:dyDescent="0.3">
      <c r="B141" s="4">
        <v>46024</v>
      </c>
      <c r="C141" s="7" t="s">
        <v>572</v>
      </c>
      <c r="D141" s="8">
        <v>1499</v>
      </c>
      <c r="E141" s="7" t="str">
        <f t="shared" si="2"/>
        <v>Standard</v>
      </c>
    </row>
    <row r="142" spans="1:5" x14ac:dyDescent="0.3">
      <c r="B142" s="4">
        <v>46025</v>
      </c>
      <c r="C142" s="7" t="s">
        <v>572</v>
      </c>
      <c r="D142" s="8">
        <v>149</v>
      </c>
      <c r="E142" s="7" t="str">
        <f t="shared" si="2"/>
        <v>Standard</v>
      </c>
    </row>
    <row r="143" spans="1:5" x14ac:dyDescent="0.3">
      <c r="B143" s="4">
        <v>46026</v>
      </c>
      <c r="C143" s="7" t="s">
        <v>572</v>
      </c>
      <c r="D143" s="8">
        <v>99</v>
      </c>
      <c r="E143" s="7" t="str">
        <f t="shared" si="2"/>
        <v>Standard</v>
      </c>
    </row>
    <row r="144" spans="1:5" x14ac:dyDescent="0.3">
      <c r="B144" s="4">
        <v>46027</v>
      </c>
      <c r="C144" s="7" t="s">
        <v>572</v>
      </c>
      <c r="D144" s="8">
        <v>1499</v>
      </c>
      <c r="E144" s="7" t="str">
        <f t="shared" si="2"/>
        <v>Standard</v>
      </c>
    </row>
    <row r="145" spans="1:5" x14ac:dyDescent="0.3">
      <c r="B145" s="4">
        <v>46029</v>
      </c>
      <c r="C145" s="7" t="s">
        <v>572</v>
      </c>
      <c r="D145" s="8">
        <v>49</v>
      </c>
      <c r="E145" s="7" t="str">
        <f t="shared" si="2"/>
        <v>Standard</v>
      </c>
    </row>
    <row r="146" spans="1:5" x14ac:dyDescent="0.3">
      <c r="B146" s="4">
        <v>46030</v>
      </c>
      <c r="C146" s="7" t="s">
        <v>572</v>
      </c>
      <c r="D146" s="8">
        <v>799</v>
      </c>
      <c r="E146" s="7" t="str">
        <f t="shared" si="2"/>
        <v>Standard</v>
      </c>
    </row>
    <row r="147" spans="1:5" x14ac:dyDescent="0.3">
      <c r="B147" s="4">
        <v>46040</v>
      </c>
      <c r="C147" s="7" t="s">
        <v>572</v>
      </c>
      <c r="D147" s="8">
        <v>99</v>
      </c>
      <c r="E147" s="7" t="str">
        <f t="shared" si="2"/>
        <v>Standard</v>
      </c>
    </row>
    <row r="148" spans="1:5" x14ac:dyDescent="0.3">
      <c r="B148" s="4">
        <v>46041</v>
      </c>
      <c r="C148" s="7" t="s">
        <v>572</v>
      </c>
      <c r="D148" s="8">
        <v>99</v>
      </c>
      <c r="E148" s="7" t="str">
        <f t="shared" si="2"/>
        <v>Standard</v>
      </c>
    </row>
    <row r="149" spans="1:5" x14ac:dyDescent="0.3">
      <c r="B149" s="4">
        <v>46042</v>
      </c>
      <c r="C149" s="7" t="s">
        <v>572</v>
      </c>
      <c r="D149" s="8">
        <v>299</v>
      </c>
      <c r="E149" s="7" t="str">
        <f t="shared" si="2"/>
        <v>Standard</v>
      </c>
    </row>
    <row r="150" spans="1:5" x14ac:dyDescent="0.3">
      <c r="B150" s="4">
        <v>46047</v>
      </c>
      <c r="C150" s="7" t="s">
        <v>572</v>
      </c>
      <c r="D150" s="8">
        <v>1598</v>
      </c>
      <c r="E150" s="7" t="str">
        <f t="shared" si="2"/>
        <v>Standard</v>
      </c>
    </row>
    <row r="151" spans="1:5" x14ac:dyDescent="0.3">
      <c r="A151" t="s">
        <v>588</v>
      </c>
      <c r="B151" s="4">
        <v>46023</v>
      </c>
      <c r="C151" s="7" t="s">
        <v>580</v>
      </c>
      <c r="D151" s="8">
        <v>499</v>
      </c>
      <c r="E151" s="7" t="str">
        <f t="shared" si="2"/>
        <v>Standard</v>
      </c>
    </row>
    <row r="152" spans="1:5" x14ac:dyDescent="0.3">
      <c r="B152" s="4">
        <v>46029</v>
      </c>
      <c r="C152" s="7" t="s">
        <v>580</v>
      </c>
      <c r="D152" s="8">
        <v>49</v>
      </c>
      <c r="E152" s="7" t="str">
        <f t="shared" si="2"/>
        <v>Standard</v>
      </c>
    </row>
    <row r="153" spans="1:5" x14ac:dyDescent="0.3">
      <c r="B153" s="4">
        <v>46032</v>
      </c>
      <c r="C153" s="7" t="s">
        <v>580</v>
      </c>
      <c r="D153" s="8">
        <v>49</v>
      </c>
      <c r="E153" s="7" t="str">
        <f t="shared" si="2"/>
        <v>Standard</v>
      </c>
    </row>
    <row r="154" spans="1:5" x14ac:dyDescent="0.3">
      <c r="B154" s="4">
        <v>46035</v>
      </c>
      <c r="C154" s="7" t="s">
        <v>580</v>
      </c>
      <c r="D154" s="8">
        <v>299</v>
      </c>
      <c r="E154" s="7" t="str">
        <f t="shared" si="2"/>
        <v>Standard</v>
      </c>
    </row>
    <row r="155" spans="1:5" x14ac:dyDescent="0.3">
      <c r="B155" s="4">
        <v>46036</v>
      </c>
      <c r="C155" s="7" t="s">
        <v>580</v>
      </c>
      <c r="D155" s="8">
        <v>399</v>
      </c>
      <c r="E155" s="7" t="str">
        <f t="shared" si="2"/>
        <v>Standard</v>
      </c>
    </row>
    <row r="156" spans="1:5" x14ac:dyDescent="0.3">
      <c r="B156" s="4">
        <v>46041</v>
      </c>
      <c r="C156" s="7" t="s">
        <v>580</v>
      </c>
      <c r="D156" s="8">
        <v>499</v>
      </c>
      <c r="E156" s="7" t="str">
        <f t="shared" si="2"/>
        <v>Standard</v>
      </c>
    </row>
    <row r="157" spans="1:5" x14ac:dyDescent="0.3">
      <c r="B157" s="4">
        <v>46046</v>
      </c>
      <c r="C157" s="7" t="s">
        <v>580</v>
      </c>
      <c r="D157" s="8">
        <v>148</v>
      </c>
      <c r="E157" s="7" t="str">
        <f t="shared" si="2"/>
        <v>Standard</v>
      </c>
    </row>
    <row r="158" spans="1:5" x14ac:dyDescent="0.3">
      <c r="B158" s="4">
        <v>46048</v>
      </c>
      <c r="C158" s="7" t="s">
        <v>580</v>
      </c>
      <c r="D158" s="8">
        <v>4999</v>
      </c>
      <c r="E158" s="7" t="str">
        <f t="shared" si="2"/>
        <v>Standard</v>
      </c>
    </row>
    <row r="159" spans="1:5" x14ac:dyDescent="0.3">
      <c r="B159" s="4">
        <v>46049</v>
      </c>
      <c r="C159" s="7" t="s">
        <v>580</v>
      </c>
      <c r="D159" s="8">
        <v>799</v>
      </c>
      <c r="E159" s="7" t="str">
        <f t="shared" si="2"/>
        <v>Standard</v>
      </c>
    </row>
    <row r="160" spans="1:5" x14ac:dyDescent="0.3">
      <c r="B160" s="4">
        <v>46051</v>
      </c>
      <c r="C160" s="7" t="s">
        <v>580</v>
      </c>
      <c r="D160" s="8">
        <v>98</v>
      </c>
      <c r="E160" s="7" t="str">
        <f t="shared" si="2"/>
        <v>Standard</v>
      </c>
    </row>
    <row r="161" spans="1:5" x14ac:dyDescent="0.3">
      <c r="A161" t="s">
        <v>589</v>
      </c>
      <c r="B161" s="4">
        <v>46024</v>
      </c>
      <c r="C161" s="7" t="s">
        <v>570</v>
      </c>
      <c r="D161" s="8">
        <v>499</v>
      </c>
      <c r="E161" s="7" t="str">
        <f t="shared" si="2"/>
        <v>Standard</v>
      </c>
    </row>
    <row r="162" spans="1:5" x14ac:dyDescent="0.3">
      <c r="B162" s="4">
        <v>46025</v>
      </c>
      <c r="C162" s="7" t="s">
        <v>570</v>
      </c>
      <c r="D162" s="8">
        <v>99</v>
      </c>
      <c r="E162" s="7" t="str">
        <f t="shared" si="2"/>
        <v>Standard</v>
      </c>
    </row>
    <row r="163" spans="1:5" x14ac:dyDescent="0.3">
      <c r="B163" s="4">
        <v>46026</v>
      </c>
      <c r="C163" s="7" t="s">
        <v>570</v>
      </c>
      <c r="D163" s="8">
        <v>49</v>
      </c>
      <c r="E163" s="7" t="str">
        <f t="shared" si="2"/>
        <v>Standard</v>
      </c>
    </row>
    <row r="164" spans="1:5" x14ac:dyDescent="0.3">
      <c r="B164" s="4">
        <v>46027</v>
      </c>
      <c r="C164" s="7" t="s">
        <v>570</v>
      </c>
      <c r="D164" s="8">
        <v>149</v>
      </c>
      <c r="E164" s="7" t="str">
        <f t="shared" si="2"/>
        <v>Standard</v>
      </c>
    </row>
    <row r="165" spans="1:5" x14ac:dyDescent="0.3">
      <c r="B165" s="4">
        <v>46033</v>
      </c>
      <c r="C165" s="7" t="s">
        <v>570</v>
      </c>
      <c r="D165" s="8">
        <v>499</v>
      </c>
      <c r="E165" s="7" t="str">
        <f t="shared" si="2"/>
        <v>Standard</v>
      </c>
    </row>
    <row r="166" spans="1:5" x14ac:dyDescent="0.3">
      <c r="B166" s="4">
        <v>46037</v>
      </c>
      <c r="C166" s="7" t="s">
        <v>570</v>
      </c>
      <c r="D166" s="8">
        <v>2999</v>
      </c>
      <c r="E166" s="7" t="str">
        <f t="shared" si="2"/>
        <v>Standard</v>
      </c>
    </row>
    <row r="167" spans="1:5" x14ac:dyDescent="0.3">
      <c r="B167" s="4">
        <v>46040</v>
      </c>
      <c r="C167" s="7" t="s">
        <v>570</v>
      </c>
      <c r="D167" s="8">
        <v>49</v>
      </c>
      <c r="E167" s="7" t="str">
        <f t="shared" si="2"/>
        <v>Standard</v>
      </c>
    </row>
    <row r="168" spans="1:5" x14ac:dyDescent="0.3">
      <c r="B168" s="4">
        <v>46042</v>
      </c>
      <c r="C168" s="7" t="s">
        <v>570</v>
      </c>
      <c r="D168" s="8">
        <v>448</v>
      </c>
      <c r="E168" s="7" t="str">
        <f t="shared" si="2"/>
        <v>Standard</v>
      </c>
    </row>
    <row r="169" spans="1:5" x14ac:dyDescent="0.3">
      <c r="B169" s="4">
        <v>46045</v>
      </c>
      <c r="C169" s="7" t="s">
        <v>570</v>
      </c>
      <c r="D169" s="8">
        <v>399</v>
      </c>
      <c r="E169" s="7" t="str">
        <f t="shared" si="2"/>
        <v>Standard</v>
      </c>
    </row>
    <row r="170" spans="1:5" x14ac:dyDescent="0.3">
      <c r="B170" s="4">
        <v>46046</v>
      </c>
      <c r="C170" s="7" t="s">
        <v>570</v>
      </c>
      <c r="D170" s="8">
        <v>1548</v>
      </c>
      <c r="E170" s="7" t="str">
        <f t="shared" si="2"/>
        <v>Standard</v>
      </c>
    </row>
    <row r="171" spans="1:5" x14ac:dyDescent="0.3">
      <c r="B171" s="4">
        <v>46047</v>
      </c>
      <c r="C171" s="7" t="s">
        <v>570</v>
      </c>
      <c r="D171" s="8">
        <v>98</v>
      </c>
      <c r="E171" s="7" t="str">
        <f t="shared" si="2"/>
        <v>Standard</v>
      </c>
    </row>
    <row r="172" spans="1:5" x14ac:dyDescent="0.3">
      <c r="B172" s="4">
        <v>46049</v>
      </c>
      <c r="C172" s="7" t="s">
        <v>570</v>
      </c>
      <c r="D172" s="8">
        <v>348</v>
      </c>
      <c r="E172" s="7" t="str">
        <f t="shared" si="2"/>
        <v>Standard</v>
      </c>
    </row>
    <row r="173" spans="1:5" x14ac:dyDescent="0.3">
      <c r="B173" s="4">
        <v>46050</v>
      </c>
      <c r="C173" s="7" t="s">
        <v>570</v>
      </c>
      <c r="D173" s="8">
        <v>49</v>
      </c>
      <c r="E173" s="7" t="str">
        <f t="shared" si="2"/>
        <v>Standard</v>
      </c>
    </row>
    <row r="174" spans="1:5" x14ac:dyDescent="0.3">
      <c r="B174" s="4">
        <v>46051</v>
      </c>
      <c r="C174" s="7" t="s">
        <v>570</v>
      </c>
      <c r="D174" s="8">
        <v>2999</v>
      </c>
      <c r="E174" s="7" t="str">
        <f t="shared" si="2"/>
        <v>Standard</v>
      </c>
    </row>
    <row r="175" spans="1:5" x14ac:dyDescent="0.3">
      <c r="B175" s="4">
        <v>46052</v>
      </c>
      <c r="C175" s="7" t="s">
        <v>570</v>
      </c>
      <c r="D175" s="8">
        <v>898</v>
      </c>
      <c r="E175" s="7" t="str">
        <f t="shared" si="2"/>
        <v>Standard</v>
      </c>
    </row>
    <row r="176" spans="1:5" x14ac:dyDescent="0.3">
      <c r="A176" t="s">
        <v>591</v>
      </c>
      <c r="B176" s="4">
        <v>46023</v>
      </c>
      <c r="C176" s="7" t="s">
        <v>580</v>
      </c>
      <c r="D176" s="8">
        <v>1499</v>
      </c>
      <c r="E176" s="7" t="str">
        <f t="shared" si="2"/>
        <v>Standard</v>
      </c>
    </row>
    <row r="177" spans="1:5" x14ac:dyDescent="0.3">
      <c r="B177" s="4">
        <v>46024</v>
      </c>
      <c r="C177" s="7" t="s">
        <v>580</v>
      </c>
      <c r="D177" s="8">
        <v>299</v>
      </c>
      <c r="E177" s="7" t="str">
        <f t="shared" si="2"/>
        <v>Standard</v>
      </c>
    </row>
    <row r="178" spans="1:5" x14ac:dyDescent="0.3">
      <c r="B178" s="4">
        <v>46025</v>
      </c>
      <c r="C178" s="7" t="s">
        <v>580</v>
      </c>
      <c r="D178" s="8">
        <v>398</v>
      </c>
      <c r="E178" s="7" t="str">
        <f t="shared" si="2"/>
        <v>Standard</v>
      </c>
    </row>
    <row r="179" spans="1:5" x14ac:dyDescent="0.3">
      <c r="B179" s="4">
        <v>46033</v>
      </c>
      <c r="C179" s="7" t="s">
        <v>580</v>
      </c>
      <c r="D179" s="8">
        <v>7998</v>
      </c>
      <c r="E179" s="7" t="str">
        <f t="shared" si="2"/>
        <v>High-Value Merchant Day</v>
      </c>
    </row>
    <row r="180" spans="1:5" x14ac:dyDescent="0.3">
      <c r="B180" s="4">
        <v>46034</v>
      </c>
      <c r="C180" s="7" t="s">
        <v>580</v>
      </c>
      <c r="D180" s="8">
        <v>1499</v>
      </c>
      <c r="E180" s="7" t="str">
        <f t="shared" si="2"/>
        <v>Standard</v>
      </c>
    </row>
    <row r="181" spans="1:5" x14ac:dyDescent="0.3">
      <c r="B181" s="4">
        <v>46039</v>
      </c>
      <c r="C181" s="7" t="s">
        <v>580</v>
      </c>
      <c r="D181" s="8">
        <v>299</v>
      </c>
      <c r="E181" s="7" t="str">
        <f t="shared" si="2"/>
        <v>Standard</v>
      </c>
    </row>
    <row r="182" spans="1:5" x14ac:dyDescent="0.3">
      <c r="B182" s="4">
        <v>46040</v>
      </c>
      <c r="C182" s="7" t="s">
        <v>580</v>
      </c>
      <c r="D182" s="8">
        <v>198</v>
      </c>
      <c r="E182" s="7" t="str">
        <f t="shared" si="2"/>
        <v>Standard</v>
      </c>
    </row>
    <row r="183" spans="1:5" x14ac:dyDescent="0.3">
      <c r="B183" s="4">
        <v>46041</v>
      </c>
      <c r="C183" s="7" t="s">
        <v>580</v>
      </c>
      <c r="D183" s="8">
        <v>49</v>
      </c>
      <c r="E183" s="7" t="str">
        <f t="shared" si="2"/>
        <v>Standard</v>
      </c>
    </row>
    <row r="184" spans="1:5" x14ac:dyDescent="0.3">
      <c r="B184" s="4">
        <v>46050</v>
      </c>
      <c r="C184" s="7" t="s">
        <v>580</v>
      </c>
      <c r="D184" s="8">
        <v>299</v>
      </c>
      <c r="E184" s="7" t="str">
        <f t="shared" si="2"/>
        <v>Standard</v>
      </c>
    </row>
    <row r="185" spans="1:5" x14ac:dyDescent="0.3">
      <c r="B185" s="4">
        <v>46052</v>
      </c>
      <c r="C185" s="7" t="s">
        <v>580</v>
      </c>
      <c r="D185" s="8">
        <v>499</v>
      </c>
      <c r="E185" s="7" t="str">
        <f t="shared" si="2"/>
        <v>Standard</v>
      </c>
    </row>
    <row r="186" spans="1:5" x14ac:dyDescent="0.3">
      <c r="A186" t="s">
        <v>592</v>
      </c>
      <c r="B186" s="4">
        <v>46028</v>
      </c>
      <c r="C186" s="7" t="s">
        <v>570</v>
      </c>
      <c r="D186" s="8">
        <v>499</v>
      </c>
      <c r="E186" s="7" t="str">
        <f t="shared" si="2"/>
        <v>Standard</v>
      </c>
    </row>
    <row r="187" spans="1:5" x14ac:dyDescent="0.3">
      <c r="B187" s="4">
        <v>46033</v>
      </c>
      <c r="C187" s="7" t="s">
        <v>570</v>
      </c>
      <c r="D187" s="8">
        <v>799</v>
      </c>
      <c r="E187" s="7" t="str">
        <f t="shared" si="2"/>
        <v>Standard</v>
      </c>
    </row>
    <row r="188" spans="1:5" x14ac:dyDescent="0.3">
      <c r="B188" s="4">
        <v>46034</v>
      </c>
      <c r="C188" s="7" t="s">
        <v>570</v>
      </c>
      <c r="D188" s="8">
        <v>49</v>
      </c>
      <c r="E188" s="7" t="str">
        <f t="shared" si="2"/>
        <v>Standard</v>
      </c>
    </row>
    <row r="189" spans="1:5" x14ac:dyDescent="0.3">
      <c r="B189" s="4">
        <v>46036</v>
      </c>
      <c r="C189" s="7" t="s">
        <v>570</v>
      </c>
      <c r="D189" s="8">
        <v>149</v>
      </c>
      <c r="E189" s="7" t="str">
        <f t="shared" si="2"/>
        <v>Standard</v>
      </c>
    </row>
    <row r="190" spans="1:5" x14ac:dyDescent="0.3">
      <c r="B190" s="4">
        <v>46037</v>
      </c>
      <c r="C190" s="7" t="s">
        <v>570</v>
      </c>
      <c r="D190" s="8">
        <v>149</v>
      </c>
      <c r="E190" s="7" t="str">
        <f t="shared" si="2"/>
        <v>Standard</v>
      </c>
    </row>
    <row r="191" spans="1:5" x14ac:dyDescent="0.3">
      <c r="B191" s="4">
        <v>46038</v>
      </c>
      <c r="C191" s="7" t="s">
        <v>570</v>
      </c>
      <c r="D191" s="8">
        <v>3148</v>
      </c>
      <c r="E191" s="7" t="str">
        <f t="shared" si="2"/>
        <v>Standard</v>
      </c>
    </row>
    <row r="192" spans="1:5" x14ac:dyDescent="0.3">
      <c r="B192" s="4">
        <v>46040</v>
      </c>
      <c r="C192" s="7" t="s">
        <v>570</v>
      </c>
      <c r="D192" s="8">
        <v>499</v>
      </c>
      <c r="E192" s="7" t="str">
        <f t="shared" si="2"/>
        <v>Standard</v>
      </c>
    </row>
    <row r="193" spans="1:5" x14ac:dyDescent="0.3">
      <c r="B193" s="4">
        <v>46042</v>
      </c>
      <c r="C193" s="7" t="s">
        <v>570</v>
      </c>
      <c r="D193" s="8">
        <v>149</v>
      </c>
      <c r="E193" s="7" t="str">
        <f t="shared" si="2"/>
        <v>Standard</v>
      </c>
    </row>
    <row r="194" spans="1:5" x14ac:dyDescent="0.3">
      <c r="B194" s="4">
        <v>46047</v>
      </c>
      <c r="C194" s="7" t="s">
        <v>570</v>
      </c>
      <c r="D194" s="8">
        <v>1648</v>
      </c>
      <c r="E194" s="7" t="str">
        <f t="shared" si="2"/>
        <v>Standard</v>
      </c>
    </row>
    <row r="195" spans="1:5" x14ac:dyDescent="0.3">
      <c r="A195" t="s">
        <v>593</v>
      </c>
      <c r="B195" s="4">
        <v>46024</v>
      </c>
      <c r="C195" s="7" t="s">
        <v>580</v>
      </c>
      <c r="D195" s="8">
        <v>149</v>
      </c>
      <c r="E195" s="7" t="str">
        <f t="shared" si="2"/>
        <v>Standard</v>
      </c>
    </row>
    <row r="196" spans="1:5" x14ac:dyDescent="0.3">
      <c r="B196" s="4">
        <v>46028</v>
      </c>
      <c r="C196" s="7" t="s">
        <v>580</v>
      </c>
      <c r="D196" s="8">
        <v>499</v>
      </c>
      <c r="E196" s="7" t="str">
        <f t="shared" si="2"/>
        <v>Standard</v>
      </c>
    </row>
    <row r="197" spans="1:5" x14ac:dyDescent="0.3">
      <c r="B197" s="4">
        <v>46031</v>
      </c>
      <c r="C197" s="7" t="s">
        <v>580</v>
      </c>
      <c r="D197" s="8">
        <v>99</v>
      </c>
      <c r="E197" s="7" t="str">
        <f t="shared" ref="E197:E260" si="3">IF(AND(D197 &gt; 5000, C197 &lt;&gt; "East"), "High-Value Merchant Day", "Standard")</f>
        <v>Standard</v>
      </c>
    </row>
    <row r="198" spans="1:5" x14ac:dyDescent="0.3">
      <c r="B198" s="4">
        <v>46032</v>
      </c>
      <c r="C198" s="7" t="s">
        <v>580</v>
      </c>
      <c r="D198" s="8">
        <v>2999</v>
      </c>
      <c r="E198" s="7" t="str">
        <f t="shared" si="3"/>
        <v>Standard</v>
      </c>
    </row>
    <row r="199" spans="1:5" x14ac:dyDescent="0.3">
      <c r="B199" s="4">
        <v>46037</v>
      </c>
      <c r="C199" s="7" t="s">
        <v>580</v>
      </c>
      <c r="D199" s="8">
        <v>398</v>
      </c>
      <c r="E199" s="7" t="str">
        <f t="shared" si="3"/>
        <v>Standard</v>
      </c>
    </row>
    <row r="200" spans="1:5" x14ac:dyDescent="0.3">
      <c r="B200" s="4">
        <v>46038</v>
      </c>
      <c r="C200" s="7" t="s">
        <v>580</v>
      </c>
      <c r="D200" s="8">
        <v>4999</v>
      </c>
      <c r="E200" s="7" t="str">
        <f t="shared" si="3"/>
        <v>Standard</v>
      </c>
    </row>
    <row r="201" spans="1:5" x14ac:dyDescent="0.3">
      <c r="B201" s="4">
        <v>46041</v>
      </c>
      <c r="C201" s="7" t="s">
        <v>580</v>
      </c>
      <c r="D201" s="8">
        <v>99</v>
      </c>
      <c r="E201" s="7" t="str">
        <f t="shared" si="3"/>
        <v>Standard</v>
      </c>
    </row>
    <row r="202" spans="1:5" x14ac:dyDescent="0.3">
      <c r="B202" s="4">
        <v>46042</v>
      </c>
      <c r="C202" s="7" t="s">
        <v>580</v>
      </c>
      <c r="D202" s="8">
        <v>348</v>
      </c>
      <c r="E202" s="7" t="str">
        <f t="shared" si="3"/>
        <v>Standard</v>
      </c>
    </row>
    <row r="203" spans="1:5" x14ac:dyDescent="0.3">
      <c r="B203" s="4">
        <v>46044</v>
      </c>
      <c r="C203" s="7" t="s">
        <v>580</v>
      </c>
      <c r="D203" s="8">
        <v>2999</v>
      </c>
      <c r="E203" s="7" t="str">
        <f t="shared" si="3"/>
        <v>Standard</v>
      </c>
    </row>
    <row r="204" spans="1:5" x14ac:dyDescent="0.3">
      <c r="B204" s="4">
        <v>46046</v>
      </c>
      <c r="C204" s="7" t="s">
        <v>580</v>
      </c>
      <c r="D204" s="8">
        <v>149</v>
      </c>
      <c r="E204" s="7" t="str">
        <f t="shared" si="3"/>
        <v>Standard</v>
      </c>
    </row>
    <row r="205" spans="1:5" x14ac:dyDescent="0.3">
      <c r="B205" s="4">
        <v>46047</v>
      </c>
      <c r="C205" s="7" t="s">
        <v>580</v>
      </c>
      <c r="D205" s="8">
        <v>49</v>
      </c>
      <c r="E205" s="7" t="str">
        <f t="shared" si="3"/>
        <v>Standard</v>
      </c>
    </row>
    <row r="206" spans="1:5" x14ac:dyDescent="0.3">
      <c r="B206" s="4">
        <v>46048</v>
      </c>
      <c r="C206" s="7" t="s">
        <v>580</v>
      </c>
      <c r="D206" s="8">
        <v>49</v>
      </c>
      <c r="E206" s="7" t="str">
        <f t="shared" si="3"/>
        <v>Standard</v>
      </c>
    </row>
    <row r="207" spans="1:5" x14ac:dyDescent="0.3">
      <c r="A207" t="s">
        <v>594</v>
      </c>
      <c r="B207" s="4">
        <v>46024</v>
      </c>
      <c r="C207" s="7" t="s">
        <v>572</v>
      </c>
      <c r="D207" s="8">
        <v>49</v>
      </c>
      <c r="E207" s="7" t="str">
        <f t="shared" si="3"/>
        <v>Standard</v>
      </c>
    </row>
    <row r="208" spans="1:5" x14ac:dyDescent="0.3">
      <c r="B208" s="4">
        <v>46025</v>
      </c>
      <c r="C208" s="7" t="s">
        <v>572</v>
      </c>
      <c r="D208" s="8">
        <v>348</v>
      </c>
      <c r="E208" s="7" t="str">
        <f t="shared" si="3"/>
        <v>Standard</v>
      </c>
    </row>
    <row r="209" spans="1:5" x14ac:dyDescent="0.3">
      <c r="B209" s="4">
        <v>46026</v>
      </c>
      <c r="C209" s="7" t="s">
        <v>572</v>
      </c>
      <c r="D209" s="8">
        <v>2999</v>
      </c>
      <c r="E209" s="7" t="str">
        <f t="shared" si="3"/>
        <v>Standard</v>
      </c>
    </row>
    <row r="210" spans="1:5" x14ac:dyDescent="0.3">
      <c r="B210" s="4">
        <v>46032</v>
      </c>
      <c r="C210" s="7" t="s">
        <v>572</v>
      </c>
      <c r="D210" s="8">
        <v>149</v>
      </c>
      <c r="E210" s="7" t="str">
        <f t="shared" si="3"/>
        <v>Standard</v>
      </c>
    </row>
    <row r="211" spans="1:5" x14ac:dyDescent="0.3">
      <c r="B211" s="4">
        <v>46043</v>
      </c>
      <c r="C211" s="7" t="s">
        <v>572</v>
      </c>
      <c r="D211" s="8">
        <v>99</v>
      </c>
      <c r="E211" s="7" t="str">
        <f t="shared" si="3"/>
        <v>Standard</v>
      </c>
    </row>
    <row r="212" spans="1:5" x14ac:dyDescent="0.3">
      <c r="B212" s="4">
        <v>46045</v>
      </c>
      <c r="C212" s="7" t="s">
        <v>572</v>
      </c>
      <c r="D212" s="8">
        <v>49</v>
      </c>
      <c r="E212" s="7" t="str">
        <f t="shared" si="3"/>
        <v>Standard</v>
      </c>
    </row>
    <row r="213" spans="1:5" x14ac:dyDescent="0.3">
      <c r="B213" s="4">
        <v>46046</v>
      </c>
      <c r="C213" s="7" t="s">
        <v>572</v>
      </c>
      <c r="D213" s="8">
        <v>49</v>
      </c>
      <c r="E213" s="7" t="str">
        <f t="shared" si="3"/>
        <v>Standard</v>
      </c>
    </row>
    <row r="214" spans="1:5" x14ac:dyDescent="0.3">
      <c r="B214" s="4">
        <v>46051</v>
      </c>
      <c r="C214" s="7" t="s">
        <v>572</v>
      </c>
      <c r="D214" s="8">
        <v>499</v>
      </c>
      <c r="E214" s="7" t="str">
        <f t="shared" si="3"/>
        <v>Standard</v>
      </c>
    </row>
    <row r="215" spans="1:5" x14ac:dyDescent="0.3">
      <c r="A215" t="s">
        <v>595</v>
      </c>
      <c r="B215" s="4">
        <v>46023</v>
      </c>
      <c r="C215" s="7" t="s">
        <v>572</v>
      </c>
      <c r="D215" s="8">
        <v>5298</v>
      </c>
      <c r="E215" s="7" t="str">
        <f t="shared" si="3"/>
        <v>Standard</v>
      </c>
    </row>
    <row r="216" spans="1:5" x14ac:dyDescent="0.3">
      <c r="B216" s="4">
        <v>46027</v>
      </c>
      <c r="C216" s="7" t="s">
        <v>572</v>
      </c>
      <c r="D216" s="8">
        <v>499</v>
      </c>
      <c r="E216" s="7" t="str">
        <f t="shared" si="3"/>
        <v>Standard</v>
      </c>
    </row>
    <row r="217" spans="1:5" x14ac:dyDescent="0.3">
      <c r="B217" s="4">
        <v>46031</v>
      </c>
      <c r="C217" s="7" t="s">
        <v>572</v>
      </c>
      <c r="D217" s="8">
        <v>499</v>
      </c>
      <c r="E217" s="7" t="str">
        <f t="shared" si="3"/>
        <v>Standard</v>
      </c>
    </row>
    <row r="218" spans="1:5" x14ac:dyDescent="0.3">
      <c r="B218" s="4">
        <v>46036</v>
      </c>
      <c r="C218" s="7" t="s">
        <v>572</v>
      </c>
      <c r="D218" s="8">
        <v>49</v>
      </c>
      <c r="E218" s="7" t="str">
        <f t="shared" si="3"/>
        <v>Standard</v>
      </c>
    </row>
    <row r="219" spans="1:5" x14ac:dyDescent="0.3">
      <c r="B219" s="4">
        <v>46037</v>
      </c>
      <c r="C219" s="7" t="s">
        <v>572</v>
      </c>
      <c r="D219" s="8">
        <v>299</v>
      </c>
      <c r="E219" s="7" t="str">
        <f t="shared" si="3"/>
        <v>Standard</v>
      </c>
    </row>
    <row r="220" spans="1:5" x14ac:dyDescent="0.3">
      <c r="B220" s="4">
        <v>46038</v>
      </c>
      <c r="C220" s="7" t="s">
        <v>572</v>
      </c>
      <c r="D220" s="8">
        <v>799</v>
      </c>
      <c r="E220" s="7" t="str">
        <f t="shared" si="3"/>
        <v>Standard</v>
      </c>
    </row>
    <row r="221" spans="1:5" x14ac:dyDescent="0.3">
      <c r="B221" s="4">
        <v>46040</v>
      </c>
      <c r="C221" s="7" t="s">
        <v>572</v>
      </c>
      <c r="D221" s="8">
        <v>799</v>
      </c>
      <c r="E221" s="7" t="str">
        <f t="shared" si="3"/>
        <v>Standard</v>
      </c>
    </row>
    <row r="222" spans="1:5" x14ac:dyDescent="0.3">
      <c r="B222" s="4">
        <v>46041</v>
      </c>
      <c r="C222" s="7" t="s">
        <v>572</v>
      </c>
      <c r="D222" s="8">
        <v>99</v>
      </c>
      <c r="E222" s="7" t="str">
        <f t="shared" si="3"/>
        <v>Standard</v>
      </c>
    </row>
    <row r="223" spans="1:5" x14ac:dyDescent="0.3">
      <c r="B223" s="4">
        <v>46042</v>
      </c>
      <c r="C223" s="7" t="s">
        <v>572</v>
      </c>
      <c r="D223" s="8">
        <v>49</v>
      </c>
      <c r="E223" s="7" t="str">
        <f t="shared" si="3"/>
        <v>Standard</v>
      </c>
    </row>
    <row r="224" spans="1:5" x14ac:dyDescent="0.3">
      <c r="B224" s="4">
        <v>46043</v>
      </c>
      <c r="C224" s="7" t="s">
        <v>572</v>
      </c>
      <c r="D224" s="8">
        <v>49</v>
      </c>
      <c r="E224" s="7" t="str">
        <f t="shared" si="3"/>
        <v>Standard</v>
      </c>
    </row>
    <row r="225" spans="1:5" x14ac:dyDescent="0.3">
      <c r="B225" s="4">
        <v>46047</v>
      </c>
      <c r="C225" s="7" t="s">
        <v>572</v>
      </c>
      <c r="D225" s="8">
        <v>299</v>
      </c>
      <c r="E225" s="7" t="str">
        <f t="shared" si="3"/>
        <v>Standard</v>
      </c>
    </row>
    <row r="226" spans="1:5" x14ac:dyDescent="0.3">
      <c r="B226" s="4">
        <v>46048</v>
      </c>
      <c r="C226" s="7" t="s">
        <v>572</v>
      </c>
      <c r="D226" s="8">
        <v>99</v>
      </c>
      <c r="E226" s="7" t="str">
        <f t="shared" si="3"/>
        <v>Standard</v>
      </c>
    </row>
    <row r="227" spans="1:5" x14ac:dyDescent="0.3">
      <c r="B227" s="4">
        <v>46049</v>
      </c>
      <c r="C227" s="7" t="s">
        <v>572</v>
      </c>
      <c r="D227" s="8">
        <v>49</v>
      </c>
      <c r="E227" s="7" t="str">
        <f t="shared" si="3"/>
        <v>Standard</v>
      </c>
    </row>
    <row r="228" spans="1:5" x14ac:dyDescent="0.3">
      <c r="A228" t="s">
        <v>596</v>
      </c>
      <c r="B228" s="4">
        <v>46023</v>
      </c>
      <c r="C228" s="7" t="s">
        <v>567</v>
      </c>
      <c r="D228" s="8">
        <v>799</v>
      </c>
      <c r="E228" s="7" t="str">
        <f t="shared" si="3"/>
        <v>Standard</v>
      </c>
    </row>
    <row r="229" spans="1:5" x14ac:dyDescent="0.3">
      <c r="B229" s="4">
        <v>46027</v>
      </c>
      <c r="C229" s="7" t="s">
        <v>567</v>
      </c>
      <c r="D229" s="8">
        <v>448</v>
      </c>
      <c r="E229" s="7" t="str">
        <f t="shared" si="3"/>
        <v>Standard</v>
      </c>
    </row>
    <row r="230" spans="1:5" x14ac:dyDescent="0.3">
      <c r="B230" s="4">
        <v>46029</v>
      </c>
      <c r="C230" s="7" t="s">
        <v>567</v>
      </c>
      <c r="D230" s="8">
        <v>499</v>
      </c>
      <c r="E230" s="7" t="str">
        <f t="shared" si="3"/>
        <v>Standard</v>
      </c>
    </row>
    <row r="231" spans="1:5" x14ac:dyDescent="0.3">
      <c r="B231" s="4">
        <v>46032</v>
      </c>
      <c r="C231" s="7" t="s">
        <v>567</v>
      </c>
      <c r="D231" s="8">
        <v>499</v>
      </c>
      <c r="E231" s="7" t="str">
        <f t="shared" si="3"/>
        <v>Standard</v>
      </c>
    </row>
    <row r="232" spans="1:5" x14ac:dyDescent="0.3">
      <c r="B232" s="4">
        <v>46033</v>
      </c>
      <c r="C232" s="7" t="s">
        <v>567</v>
      </c>
      <c r="D232" s="8">
        <v>299</v>
      </c>
      <c r="E232" s="7" t="str">
        <f t="shared" si="3"/>
        <v>Standard</v>
      </c>
    </row>
    <row r="233" spans="1:5" x14ac:dyDescent="0.3">
      <c r="B233" s="4">
        <v>46034</v>
      </c>
      <c r="C233" s="7" t="s">
        <v>567</v>
      </c>
      <c r="D233" s="8">
        <v>1697</v>
      </c>
      <c r="E233" s="7" t="str">
        <f t="shared" si="3"/>
        <v>Standard</v>
      </c>
    </row>
    <row r="234" spans="1:5" x14ac:dyDescent="0.3">
      <c r="B234" s="4">
        <v>46035</v>
      </c>
      <c r="C234" s="7" t="s">
        <v>567</v>
      </c>
      <c r="D234" s="8">
        <v>5798</v>
      </c>
      <c r="E234" s="7" t="str">
        <f t="shared" si="3"/>
        <v>High-Value Merchant Day</v>
      </c>
    </row>
    <row r="235" spans="1:5" x14ac:dyDescent="0.3">
      <c r="B235" s="4">
        <v>46036</v>
      </c>
      <c r="C235" s="7" t="s">
        <v>567</v>
      </c>
      <c r="D235" s="8">
        <v>799</v>
      </c>
      <c r="E235" s="7" t="str">
        <f t="shared" si="3"/>
        <v>Standard</v>
      </c>
    </row>
    <row r="236" spans="1:5" x14ac:dyDescent="0.3">
      <c r="B236" s="4">
        <v>46039</v>
      </c>
      <c r="C236" s="7" t="s">
        <v>567</v>
      </c>
      <c r="D236" s="8">
        <v>1598</v>
      </c>
      <c r="E236" s="7" t="str">
        <f t="shared" si="3"/>
        <v>Standard</v>
      </c>
    </row>
    <row r="237" spans="1:5" x14ac:dyDescent="0.3">
      <c r="B237" s="4">
        <v>46045</v>
      </c>
      <c r="C237" s="7" t="s">
        <v>567</v>
      </c>
      <c r="D237" s="8">
        <v>49</v>
      </c>
      <c r="E237" s="7" t="str">
        <f t="shared" si="3"/>
        <v>Standard</v>
      </c>
    </row>
    <row r="238" spans="1:5" x14ac:dyDescent="0.3">
      <c r="B238" s="4">
        <v>46051</v>
      </c>
      <c r="C238" s="7" t="s">
        <v>567</v>
      </c>
      <c r="D238" s="8">
        <v>49</v>
      </c>
      <c r="E238" s="7" t="str">
        <f t="shared" si="3"/>
        <v>Standard</v>
      </c>
    </row>
    <row r="239" spans="1:5" x14ac:dyDescent="0.3">
      <c r="A239" t="s">
        <v>597</v>
      </c>
      <c r="B239" s="4">
        <v>46030</v>
      </c>
      <c r="C239" s="7" t="s">
        <v>580</v>
      </c>
      <c r="D239" s="8">
        <v>99</v>
      </c>
      <c r="E239" s="7" t="str">
        <f t="shared" si="3"/>
        <v>Standard</v>
      </c>
    </row>
    <row r="240" spans="1:5" x14ac:dyDescent="0.3">
      <c r="B240" s="4">
        <v>46031</v>
      </c>
      <c r="C240" s="7" t="s">
        <v>580</v>
      </c>
      <c r="D240" s="8">
        <v>399</v>
      </c>
      <c r="E240" s="7" t="str">
        <f t="shared" si="3"/>
        <v>Standard</v>
      </c>
    </row>
    <row r="241" spans="1:5" x14ac:dyDescent="0.3">
      <c r="B241" s="4">
        <v>46034</v>
      </c>
      <c r="C241" s="7" t="s">
        <v>580</v>
      </c>
      <c r="D241" s="8">
        <v>149</v>
      </c>
      <c r="E241" s="7" t="str">
        <f t="shared" si="3"/>
        <v>Standard</v>
      </c>
    </row>
    <row r="242" spans="1:5" x14ac:dyDescent="0.3">
      <c r="B242" s="4">
        <v>46039</v>
      </c>
      <c r="C242" s="7" t="s">
        <v>580</v>
      </c>
      <c r="D242" s="8">
        <v>49</v>
      </c>
      <c r="E242" s="7" t="str">
        <f t="shared" si="3"/>
        <v>Standard</v>
      </c>
    </row>
    <row r="243" spans="1:5" x14ac:dyDescent="0.3">
      <c r="B243" s="4">
        <v>46040</v>
      </c>
      <c r="C243" s="7" t="s">
        <v>580</v>
      </c>
      <c r="D243" s="8">
        <v>1999</v>
      </c>
      <c r="E243" s="7" t="str">
        <f t="shared" si="3"/>
        <v>Standard</v>
      </c>
    </row>
    <row r="244" spans="1:5" x14ac:dyDescent="0.3">
      <c r="B244" s="4">
        <v>46044</v>
      </c>
      <c r="C244" s="7" t="s">
        <v>580</v>
      </c>
      <c r="D244" s="8">
        <v>49</v>
      </c>
      <c r="E244" s="7" t="str">
        <f t="shared" si="3"/>
        <v>Standard</v>
      </c>
    </row>
    <row r="245" spans="1:5" x14ac:dyDescent="0.3">
      <c r="B245" s="4">
        <v>46045</v>
      </c>
      <c r="C245" s="7" t="s">
        <v>580</v>
      </c>
      <c r="D245" s="8">
        <v>247</v>
      </c>
      <c r="E245" s="7" t="str">
        <f t="shared" si="3"/>
        <v>Standard</v>
      </c>
    </row>
    <row r="246" spans="1:5" x14ac:dyDescent="0.3">
      <c r="B246" s="4">
        <v>46048</v>
      </c>
      <c r="C246" s="7" t="s">
        <v>580</v>
      </c>
      <c r="D246" s="8">
        <v>49</v>
      </c>
      <c r="E246" s="7" t="str">
        <f t="shared" si="3"/>
        <v>Standard</v>
      </c>
    </row>
    <row r="247" spans="1:5" x14ac:dyDescent="0.3">
      <c r="A247" t="s">
        <v>598</v>
      </c>
      <c r="B247" s="4">
        <v>46025</v>
      </c>
      <c r="C247" s="7" t="s">
        <v>580</v>
      </c>
      <c r="D247" s="8">
        <v>49</v>
      </c>
      <c r="E247" s="7" t="str">
        <f t="shared" si="3"/>
        <v>Standard</v>
      </c>
    </row>
    <row r="248" spans="1:5" x14ac:dyDescent="0.3">
      <c r="B248" s="4">
        <v>46026</v>
      </c>
      <c r="C248" s="7" t="s">
        <v>580</v>
      </c>
      <c r="D248" s="8">
        <v>149</v>
      </c>
      <c r="E248" s="7" t="str">
        <f t="shared" si="3"/>
        <v>Standard</v>
      </c>
    </row>
    <row r="249" spans="1:5" x14ac:dyDescent="0.3">
      <c r="B249" s="4">
        <v>46029</v>
      </c>
      <c r="C249" s="7" t="s">
        <v>580</v>
      </c>
      <c r="D249" s="8">
        <v>299</v>
      </c>
      <c r="E249" s="7" t="str">
        <f t="shared" si="3"/>
        <v>Standard</v>
      </c>
    </row>
    <row r="250" spans="1:5" x14ac:dyDescent="0.3">
      <c r="B250" s="4">
        <v>46033</v>
      </c>
      <c r="C250" s="7" t="s">
        <v>580</v>
      </c>
      <c r="D250" s="8">
        <v>799</v>
      </c>
      <c r="E250" s="7" t="str">
        <f t="shared" si="3"/>
        <v>Standard</v>
      </c>
    </row>
    <row r="251" spans="1:5" x14ac:dyDescent="0.3">
      <c r="B251" s="4">
        <v>46034</v>
      </c>
      <c r="C251" s="7" t="s">
        <v>580</v>
      </c>
      <c r="D251" s="8">
        <v>149</v>
      </c>
      <c r="E251" s="7" t="str">
        <f t="shared" si="3"/>
        <v>Standard</v>
      </c>
    </row>
    <row r="252" spans="1:5" x14ac:dyDescent="0.3">
      <c r="B252" s="4">
        <v>46036</v>
      </c>
      <c r="C252" s="7" t="s">
        <v>580</v>
      </c>
      <c r="D252" s="8">
        <v>499</v>
      </c>
      <c r="E252" s="7" t="str">
        <f t="shared" si="3"/>
        <v>Standard</v>
      </c>
    </row>
    <row r="253" spans="1:5" x14ac:dyDescent="0.3">
      <c r="B253" s="4">
        <v>46042</v>
      </c>
      <c r="C253" s="7" t="s">
        <v>580</v>
      </c>
      <c r="D253" s="8">
        <v>299</v>
      </c>
      <c r="E253" s="7" t="str">
        <f t="shared" si="3"/>
        <v>Standard</v>
      </c>
    </row>
    <row r="254" spans="1:5" x14ac:dyDescent="0.3">
      <c r="B254" s="4">
        <v>46043</v>
      </c>
      <c r="C254" s="7" t="s">
        <v>580</v>
      </c>
      <c r="D254" s="8">
        <v>799</v>
      </c>
      <c r="E254" s="7" t="str">
        <f t="shared" si="3"/>
        <v>Standard</v>
      </c>
    </row>
    <row r="255" spans="1:5" x14ac:dyDescent="0.3">
      <c r="B255" s="4">
        <v>46044</v>
      </c>
      <c r="C255" s="7" t="s">
        <v>580</v>
      </c>
      <c r="D255" s="8">
        <v>49</v>
      </c>
      <c r="E255" s="7" t="str">
        <f t="shared" si="3"/>
        <v>Standard</v>
      </c>
    </row>
    <row r="256" spans="1:5" x14ac:dyDescent="0.3">
      <c r="B256" s="4">
        <v>46046</v>
      </c>
      <c r="C256" s="7" t="s">
        <v>580</v>
      </c>
      <c r="D256" s="8">
        <v>148</v>
      </c>
      <c r="E256" s="7" t="str">
        <f t="shared" si="3"/>
        <v>Standard</v>
      </c>
    </row>
    <row r="257" spans="1:5" x14ac:dyDescent="0.3">
      <c r="B257" s="4">
        <v>46048</v>
      </c>
      <c r="C257" s="7" t="s">
        <v>580</v>
      </c>
      <c r="D257" s="8">
        <v>348</v>
      </c>
      <c r="E257" s="7" t="str">
        <f t="shared" si="3"/>
        <v>Standard</v>
      </c>
    </row>
    <row r="258" spans="1:5" x14ac:dyDescent="0.3">
      <c r="A258" t="s">
        <v>599</v>
      </c>
      <c r="B258" s="4">
        <v>46024</v>
      </c>
      <c r="C258" s="7" t="s">
        <v>567</v>
      </c>
      <c r="D258" s="8">
        <v>99</v>
      </c>
      <c r="E258" s="7" t="str">
        <f t="shared" si="3"/>
        <v>Standard</v>
      </c>
    </row>
    <row r="259" spans="1:5" x14ac:dyDescent="0.3">
      <c r="B259" s="4">
        <v>46027</v>
      </c>
      <c r="C259" s="7" t="s">
        <v>567</v>
      </c>
      <c r="D259" s="8">
        <v>4498</v>
      </c>
      <c r="E259" s="7" t="str">
        <f t="shared" si="3"/>
        <v>Standard</v>
      </c>
    </row>
    <row r="260" spans="1:5" x14ac:dyDescent="0.3">
      <c r="B260" s="4">
        <v>46028</v>
      </c>
      <c r="C260" s="7" t="s">
        <v>567</v>
      </c>
      <c r="D260" s="8">
        <v>898</v>
      </c>
      <c r="E260" s="7" t="str">
        <f t="shared" si="3"/>
        <v>Standard</v>
      </c>
    </row>
    <row r="261" spans="1:5" x14ac:dyDescent="0.3">
      <c r="B261" s="4">
        <v>46033</v>
      </c>
      <c r="C261" s="7" t="s">
        <v>567</v>
      </c>
      <c r="D261" s="8">
        <v>799</v>
      </c>
      <c r="E261" s="7" t="str">
        <f t="shared" ref="E261:E324" si="4">IF(AND(D261 &gt; 5000, C261 &lt;&gt; "East"), "High-Value Merchant Day", "Standard")</f>
        <v>Standard</v>
      </c>
    </row>
    <row r="262" spans="1:5" x14ac:dyDescent="0.3">
      <c r="B262" s="4">
        <v>46035</v>
      </c>
      <c r="C262" s="7" t="s">
        <v>567</v>
      </c>
      <c r="D262" s="8">
        <v>49</v>
      </c>
      <c r="E262" s="7" t="str">
        <f t="shared" si="4"/>
        <v>Standard</v>
      </c>
    </row>
    <row r="263" spans="1:5" x14ac:dyDescent="0.3">
      <c r="B263" s="4">
        <v>46037</v>
      </c>
      <c r="C263" s="7" t="s">
        <v>567</v>
      </c>
      <c r="D263" s="8">
        <v>49</v>
      </c>
      <c r="E263" s="7" t="str">
        <f t="shared" si="4"/>
        <v>Standard</v>
      </c>
    </row>
    <row r="264" spans="1:5" x14ac:dyDescent="0.3">
      <c r="B264" s="4">
        <v>46038</v>
      </c>
      <c r="C264" s="7" t="s">
        <v>567</v>
      </c>
      <c r="D264" s="8">
        <v>799</v>
      </c>
      <c r="E264" s="7" t="str">
        <f t="shared" si="4"/>
        <v>Standard</v>
      </c>
    </row>
    <row r="265" spans="1:5" x14ac:dyDescent="0.3">
      <c r="B265" s="4">
        <v>46041</v>
      </c>
      <c r="C265" s="7" t="s">
        <v>567</v>
      </c>
      <c r="D265" s="8">
        <v>4498</v>
      </c>
      <c r="E265" s="7" t="str">
        <f t="shared" si="4"/>
        <v>Standard</v>
      </c>
    </row>
    <row r="266" spans="1:5" x14ac:dyDescent="0.3">
      <c r="B266" s="4">
        <v>46046</v>
      </c>
      <c r="C266" s="7" t="s">
        <v>567</v>
      </c>
      <c r="D266" s="8">
        <v>497</v>
      </c>
      <c r="E266" s="7" t="str">
        <f t="shared" si="4"/>
        <v>Standard</v>
      </c>
    </row>
    <row r="267" spans="1:5" x14ac:dyDescent="0.3">
      <c r="B267" s="4">
        <v>46050</v>
      </c>
      <c r="C267" s="7" t="s">
        <v>567</v>
      </c>
      <c r="D267" s="8">
        <v>299</v>
      </c>
      <c r="E267" s="7" t="str">
        <f t="shared" si="4"/>
        <v>Standard</v>
      </c>
    </row>
    <row r="268" spans="1:5" x14ac:dyDescent="0.3">
      <c r="B268" s="4">
        <v>46051</v>
      </c>
      <c r="C268" s="7" t="s">
        <v>567</v>
      </c>
      <c r="D268" s="8">
        <v>3048</v>
      </c>
      <c r="E268" s="7" t="str">
        <f t="shared" si="4"/>
        <v>Standard</v>
      </c>
    </row>
    <row r="269" spans="1:5" x14ac:dyDescent="0.3">
      <c r="A269" t="s">
        <v>600</v>
      </c>
      <c r="B269" s="4">
        <v>46024</v>
      </c>
      <c r="C269" s="7" t="s">
        <v>572</v>
      </c>
      <c r="D269" s="8">
        <v>399</v>
      </c>
      <c r="E269" s="7" t="str">
        <f t="shared" si="4"/>
        <v>Standard</v>
      </c>
    </row>
    <row r="270" spans="1:5" x14ac:dyDescent="0.3">
      <c r="B270" s="4">
        <v>46025</v>
      </c>
      <c r="C270" s="7" t="s">
        <v>572</v>
      </c>
      <c r="D270" s="8">
        <v>99</v>
      </c>
      <c r="E270" s="7" t="str">
        <f t="shared" si="4"/>
        <v>Standard</v>
      </c>
    </row>
    <row r="271" spans="1:5" x14ac:dyDescent="0.3">
      <c r="B271" s="4">
        <v>46028</v>
      </c>
      <c r="C271" s="7" t="s">
        <v>572</v>
      </c>
      <c r="D271" s="8">
        <v>49</v>
      </c>
      <c r="E271" s="7" t="str">
        <f t="shared" si="4"/>
        <v>Standard</v>
      </c>
    </row>
    <row r="272" spans="1:5" x14ac:dyDescent="0.3">
      <c r="B272" s="4">
        <v>46032</v>
      </c>
      <c r="C272" s="7" t="s">
        <v>572</v>
      </c>
      <c r="D272" s="8">
        <v>299</v>
      </c>
      <c r="E272" s="7" t="str">
        <f t="shared" si="4"/>
        <v>Standard</v>
      </c>
    </row>
    <row r="273" spans="1:5" x14ac:dyDescent="0.3">
      <c r="B273" s="4">
        <v>46034</v>
      </c>
      <c r="C273" s="7" t="s">
        <v>572</v>
      </c>
      <c r="D273" s="8">
        <v>299</v>
      </c>
      <c r="E273" s="7" t="str">
        <f t="shared" si="4"/>
        <v>Standard</v>
      </c>
    </row>
    <row r="274" spans="1:5" x14ac:dyDescent="0.3">
      <c r="B274" s="4">
        <v>46036</v>
      </c>
      <c r="C274" s="7" t="s">
        <v>572</v>
      </c>
      <c r="D274" s="8">
        <v>299</v>
      </c>
      <c r="E274" s="7" t="str">
        <f t="shared" si="4"/>
        <v>Standard</v>
      </c>
    </row>
    <row r="275" spans="1:5" x14ac:dyDescent="0.3">
      <c r="B275" s="4">
        <v>46044</v>
      </c>
      <c r="C275" s="7" t="s">
        <v>572</v>
      </c>
      <c r="D275" s="8">
        <v>499</v>
      </c>
      <c r="E275" s="7" t="str">
        <f t="shared" si="4"/>
        <v>Standard</v>
      </c>
    </row>
    <row r="276" spans="1:5" x14ac:dyDescent="0.3">
      <c r="B276" s="4">
        <v>46045</v>
      </c>
      <c r="C276" s="7" t="s">
        <v>572</v>
      </c>
      <c r="D276" s="8">
        <v>99</v>
      </c>
      <c r="E276" s="7" t="str">
        <f t="shared" si="4"/>
        <v>Standard</v>
      </c>
    </row>
    <row r="277" spans="1:5" x14ac:dyDescent="0.3">
      <c r="B277" s="4">
        <v>46050</v>
      </c>
      <c r="C277" s="7" t="s">
        <v>572</v>
      </c>
      <c r="D277" s="8">
        <v>1499</v>
      </c>
      <c r="E277" s="7" t="str">
        <f t="shared" si="4"/>
        <v>Standard</v>
      </c>
    </row>
    <row r="278" spans="1:5" x14ac:dyDescent="0.3">
      <c r="B278" s="4">
        <v>46051</v>
      </c>
      <c r="C278" s="7" t="s">
        <v>572</v>
      </c>
      <c r="D278" s="8">
        <v>148</v>
      </c>
      <c r="E278" s="7" t="str">
        <f t="shared" si="4"/>
        <v>Standard</v>
      </c>
    </row>
    <row r="279" spans="1:5" x14ac:dyDescent="0.3">
      <c r="B279" s="4">
        <v>46052</v>
      </c>
      <c r="C279" s="7" t="s">
        <v>572</v>
      </c>
      <c r="D279" s="8">
        <v>1499</v>
      </c>
      <c r="E279" s="7" t="str">
        <f t="shared" si="4"/>
        <v>Standard</v>
      </c>
    </row>
    <row r="280" spans="1:5" x14ac:dyDescent="0.3">
      <c r="A280" t="s">
        <v>601</v>
      </c>
      <c r="B280" s="4">
        <v>46023</v>
      </c>
      <c r="C280" s="7" t="s">
        <v>580</v>
      </c>
      <c r="D280" s="8">
        <v>149</v>
      </c>
      <c r="E280" s="7" t="str">
        <f t="shared" si="4"/>
        <v>Standard</v>
      </c>
    </row>
    <row r="281" spans="1:5" x14ac:dyDescent="0.3">
      <c r="B281" s="4">
        <v>46026</v>
      </c>
      <c r="C281" s="7" t="s">
        <v>580</v>
      </c>
      <c r="D281" s="8">
        <v>49</v>
      </c>
      <c r="E281" s="7" t="str">
        <f t="shared" si="4"/>
        <v>Standard</v>
      </c>
    </row>
    <row r="282" spans="1:5" x14ac:dyDescent="0.3">
      <c r="B282" s="4">
        <v>46032</v>
      </c>
      <c r="C282" s="7" t="s">
        <v>580</v>
      </c>
      <c r="D282" s="8">
        <v>149</v>
      </c>
      <c r="E282" s="7" t="str">
        <f t="shared" si="4"/>
        <v>Standard</v>
      </c>
    </row>
    <row r="283" spans="1:5" x14ac:dyDescent="0.3">
      <c r="B283" s="4">
        <v>46034</v>
      </c>
      <c r="C283" s="7" t="s">
        <v>580</v>
      </c>
      <c r="D283" s="8">
        <v>299</v>
      </c>
      <c r="E283" s="7" t="str">
        <f t="shared" si="4"/>
        <v>Standard</v>
      </c>
    </row>
    <row r="284" spans="1:5" x14ac:dyDescent="0.3">
      <c r="B284" s="4">
        <v>46036</v>
      </c>
      <c r="C284" s="7" t="s">
        <v>580</v>
      </c>
      <c r="D284" s="8">
        <v>149</v>
      </c>
      <c r="E284" s="7" t="str">
        <f t="shared" si="4"/>
        <v>Standard</v>
      </c>
    </row>
    <row r="285" spans="1:5" x14ac:dyDescent="0.3">
      <c r="B285" s="4">
        <v>46037</v>
      </c>
      <c r="C285" s="7" t="s">
        <v>580</v>
      </c>
      <c r="D285" s="8">
        <v>1499</v>
      </c>
      <c r="E285" s="7" t="str">
        <f t="shared" si="4"/>
        <v>Standard</v>
      </c>
    </row>
    <row r="286" spans="1:5" x14ac:dyDescent="0.3">
      <c r="B286" s="4">
        <v>46039</v>
      </c>
      <c r="C286" s="7" t="s">
        <v>580</v>
      </c>
      <c r="D286" s="8">
        <v>1597</v>
      </c>
      <c r="E286" s="7" t="str">
        <f t="shared" si="4"/>
        <v>Standard</v>
      </c>
    </row>
    <row r="287" spans="1:5" x14ac:dyDescent="0.3">
      <c r="B287" s="4">
        <v>46041</v>
      </c>
      <c r="C287" s="7" t="s">
        <v>580</v>
      </c>
      <c r="D287" s="8">
        <v>49</v>
      </c>
      <c r="E287" s="7" t="str">
        <f t="shared" si="4"/>
        <v>Standard</v>
      </c>
    </row>
    <row r="288" spans="1:5" x14ac:dyDescent="0.3">
      <c r="B288" s="4">
        <v>46042</v>
      </c>
      <c r="C288" s="7" t="s">
        <v>580</v>
      </c>
      <c r="D288" s="8">
        <v>4999</v>
      </c>
      <c r="E288" s="7" t="str">
        <f t="shared" si="4"/>
        <v>Standard</v>
      </c>
    </row>
    <row r="289" spans="1:5" x14ac:dyDescent="0.3">
      <c r="B289" s="4">
        <v>46043</v>
      </c>
      <c r="C289" s="7" t="s">
        <v>580</v>
      </c>
      <c r="D289" s="8">
        <v>499</v>
      </c>
      <c r="E289" s="7" t="str">
        <f t="shared" si="4"/>
        <v>Standard</v>
      </c>
    </row>
    <row r="290" spans="1:5" x14ac:dyDescent="0.3">
      <c r="B290" s="4">
        <v>46044</v>
      </c>
      <c r="C290" s="7" t="s">
        <v>580</v>
      </c>
      <c r="D290" s="8">
        <v>49</v>
      </c>
      <c r="E290" s="7" t="str">
        <f t="shared" si="4"/>
        <v>Standard</v>
      </c>
    </row>
    <row r="291" spans="1:5" x14ac:dyDescent="0.3">
      <c r="B291" s="4">
        <v>46045</v>
      </c>
      <c r="C291" s="7" t="s">
        <v>580</v>
      </c>
      <c r="D291" s="8">
        <v>3998</v>
      </c>
      <c r="E291" s="7" t="str">
        <f t="shared" si="4"/>
        <v>Standard</v>
      </c>
    </row>
    <row r="292" spans="1:5" x14ac:dyDescent="0.3">
      <c r="B292" s="4">
        <v>46046</v>
      </c>
      <c r="C292" s="7" t="s">
        <v>580</v>
      </c>
      <c r="D292" s="8">
        <v>99</v>
      </c>
      <c r="E292" s="7" t="str">
        <f t="shared" si="4"/>
        <v>Standard</v>
      </c>
    </row>
    <row r="293" spans="1:5" x14ac:dyDescent="0.3">
      <c r="A293" t="s">
        <v>602</v>
      </c>
      <c r="B293" s="4">
        <v>46030</v>
      </c>
      <c r="C293" s="7" t="s">
        <v>567</v>
      </c>
      <c r="D293" s="8">
        <v>49</v>
      </c>
      <c r="E293" s="7" t="str">
        <f t="shared" si="4"/>
        <v>Standard</v>
      </c>
    </row>
    <row r="294" spans="1:5" x14ac:dyDescent="0.3">
      <c r="B294" s="4">
        <v>46031</v>
      </c>
      <c r="C294" s="7" t="s">
        <v>567</v>
      </c>
      <c r="D294" s="8">
        <v>2999</v>
      </c>
      <c r="E294" s="7" t="str">
        <f t="shared" si="4"/>
        <v>Standard</v>
      </c>
    </row>
    <row r="295" spans="1:5" x14ac:dyDescent="0.3">
      <c r="B295" s="4">
        <v>46032</v>
      </c>
      <c r="C295" s="7" t="s">
        <v>567</v>
      </c>
      <c r="D295" s="8">
        <v>499</v>
      </c>
      <c r="E295" s="7" t="str">
        <f t="shared" si="4"/>
        <v>Standard</v>
      </c>
    </row>
    <row r="296" spans="1:5" x14ac:dyDescent="0.3">
      <c r="B296" s="4">
        <v>46033</v>
      </c>
      <c r="C296" s="7" t="s">
        <v>567</v>
      </c>
      <c r="D296" s="8">
        <v>49</v>
      </c>
      <c r="E296" s="7" t="str">
        <f t="shared" si="4"/>
        <v>Standard</v>
      </c>
    </row>
    <row r="297" spans="1:5" x14ac:dyDescent="0.3">
      <c r="B297" s="4">
        <v>46036</v>
      </c>
      <c r="C297" s="7" t="s">
        <v>567</v>
      </c>
      <c r="D297" s="8">
        <v>49</v>
      </c>
      <c r="E297" s="7" t="str">
        <f t="shared" si="4"/>
        <v>Standard</v>
      </c>
    </row>
    <row r="298" spans="1:5" x14ac:dyDescent="0.3">
      <c r="B298" s="4">
        <v>46037</v>
      </c>
      <c r="C298" s="7" t="s">
        <v>567</v>
      </c>
      <c r="D298" s="8">
        <v>2999</v>
      </c>
      <c r="E298" s="7" t="str">
        <f t="shared" si="4"/>
        <v>Standard</v>
      </c>
    </row>
    <row r="299" spans="1:5" x14ac:dyDescent="0.3">
      <c r="B299" s="4">
        <v>46038</v>
      </c>
      <c r="C299" s="7" t="s">
        <v>567</v>
      </c>
      <c r="D299" s="8">
        <v>299</v>
      </c>
      <c r="E299" s="7" t="str">
        <f t="shared" si="4"/>
        <v>Standard</v>
      </c>
    </row>
    <row r="300" spans="1:5" x14ac:dyDescent="0.3">
      <c r="B300" s="4">
        <v>46043</v>
      </c>
      <c r="C300" s="7" t="s">
        <v>567</v>
      </c>
      <c r="D300" s="8">
        <v>1999</v>
      </c>
      <c r="E300" s="7" t="str">
        <f t="shared" si="4"/>
        <v>Standard</v>
      </c>
    </row>
    <row r="301" spans="1:5" x14ac:dyDescent="0.3">
      <c r="B301" s="4">
        <v>46044</v>
      </c>
      <c r="C301" s="7" t="s">
        <v>567</v>
      </c>
      <c r="D301" s="8">
        <v>99</v>
      </c>
      <c r="E301" s="7" t="str">
        <f t="shared" si="4"/>
        <v>Standard</v>
      </c>
    </row>
    <row r="302" spans="1:5" x14ac:dyDescent="0.3">
      <c r="B302" s="4">
        <v>46052</v>
      </c>
      <c r="C302" s="7" t="s">
        <v>567</v>
      </c>
      <c r="D302" s="8">
        <v>499</v>
      </c>
      <c r="E302" s="7" t="str">
        <f t="shared" si="4"/>
        <v>Standard</v>
      </c>
    </row>
    <row r="303" spans="1:5" x14ac:dyDescent="0.3">
      <c r="A303" t="s">
        <v>603</v>
      </c>
      <c r="B303" s="4">
        <v>46026</v>
      </c>
      <c r="C303" s="7" t="s">
        <v>580</v>
      </c>
      <c r="D303" s="8">
        <v>99</v>
      </c>
      <c r="E303" s="7" t="str">
        <f t="shared" si="4"/>
        <v>Standard</v>
      </c>
    </row>
    <row r="304" spans="1:5" x14ac:dyDescent="0.3">
      <c r="B304" s="4">
        <v>46027</v>
      </c>
      <c r="C304" s="7" t="s">
        <v>580</v>
      </c>
      <c r="D304" s="8">
        <v>799</v>
      </c>
      <c r="E304" s="7" t="str">
        <f t="shared" si="4"/>
        <v>Standard</v>
      </c>
    </row>
    <row r="305" spans="1:5" x14ac:dyDescent="0.3">
      <c r="B305" s="4">
        <v>46030</v>
      </c>
      <c r="C305" s="7" t="s">
        <v>580</v>
      </c>
      <c r="D305" s="8">
        <v>2999</v>
      </c>
      <c r="E305" s="7" t="str">
        <f t="shared" si="4"/>
        <v>Standard</v>
      </c>
    </row>
    <row r="306" spans="1:5" x14ac:dyDescent="0.3">
      <c r="B306" s="4">
        <v>46031</v>
      </c>
      <c r="C306" s="7" t="s">
        <v>580</v>
      </c>
      <c r="D306" s="8">
        <v>499</v>
      </c>
      <c r="E306" s="7" t="str">
        <f t="shared" si="4"/>
        <v>Standard</v>
      </c>
    </row>
    <row r="307" spans="1:5" x14ac:dyDescent="0.3">
      <c r="B307" s="4">
        <v>46034</v>
      </c>
      <c r="C307" s="7" t="s">
        <v>580</v>
      </c>
      <c r="D307" s="8">
        <v>399</v>
      </c>
      <c r="E307" s="7" t="str">
        <f t="shared" si="4"/>
        <v>Standard</v>
      </c>
    </row>
    <row r="308" spans="1:5" x14ac:dyDescent="0.3">
      <c r="B308" s="4">
        <v>46036</v>
      </c>
      <c r="C308" s="7" t="s">
        <v>580</v>
      </c>
      <c r="D308" s="8">
        <v>1998</v>
      </c>
      <c r="E308" s="7" t="str">
        <f t="shared" si="4"/>
        <v>Standard</v>
      </c>
    </row>
    <row r="309" spans="1:5" x14ac:dyDescent="0.3">
      <c r="B309" s="4">
        <v>46037</v>
      </c>
      <c r="C309" s="7" t="s">
        <v>580</v>
      </c>
      <c r="D309" s="8">
        <v>1098</v>
      </c>
      <c r="E309" s="7" t="str">
        <f t="shared" si="4"/>
        <v>Standard</v>
      </c>
    </row>
    <row r="310" spans="1:5" x14ac:dyDescent="0.3">
      <c r="B310" s="4">
        <v>46039</v>
      </c>
      <c r="C310" s="7" t="s">
        <v>580</v>
      </c>
      <c r="D310" s="8">
        <v>49</v>
      </c>
      <c r="E310" s="7" t="str">
        <f t="shared" si="4"/>
        <v>Standard</v>
      </c>
    </row>
    <row r="311" spans="1:5" x14ac:dyDescent="0.3">
      <c r="B311" s="4">
        <v>46041</v>
      </c>
      <c r="C311" s="7" t="s">
        <v>580</v>
      </c>
      <c r="D311" s="8">
        <v>49</v>
      </c>
      <c r="E311" s="7" t="str">
        <f t="shared" si="4"/>
        <v>Standard</v>
      </c>
    </row>
    <row r="312" spans="1:5" x14ac:dyDescent="0.3">
      <c r="B312" s="4">
        <v>46042</v>
      </c>
      <c r="C312" s="7" t="s">
        <v>580</v>
      </c>
      <c r="D312" s="8">
        <v>149</v>
      </c>
      <c r="E312" s="7" t="str">
        <f t="shared" si="4"/>
        <v>Standard</v>
      </c>
    </row>
    <row r="313" spans="1:5" x14ac:dyDescent="0.3">
      <c r="B313" s="4">
        <v>46047</v>
      </c>
      <c r="C313" s="7" t="s">
        <v>580</v>
      </c>
      <c r="D313" s="8">
        <v>3896</v>
      </c>
      <c r="E313" s="7" t="str">
        <f t="shared" si="4"/>
        <v>Standard</v>
      </c>
    </row>
    <row r="314" spans="1:5" x14ac:dyDescent="0.3">
      <c r="B314" s="4">
        <v>46049</v>
      </c>
      <c r="C314" s="7" t="s">
        <v>580</v>
      </c>
      <c r="D314" s="8">
        <v>898</v>
      </c>
      <c r="E314" s="7" t="str">
        <f t="shared" si="4"/>
        <v>Standard</v>
      </c>
    </row>
    <row r="315" spans="1:5" x14ac:dyDescent="0.3">
      <c r="B315" s="4">
        <v>46050</v>
      </c>
      <c r="C315" s="7" t="s">
        <v>580</v>
      </c>
      <c r="D315" s="8">
        <v>149</v>
      </c>
      <c r="E315" s="7" t="str">
        <f t="shared" si="4"/>
        <v>Standard</v>
      </c>
    </row>
    <row r="316" spans="1:5" x14ac:dyDescent="0.3">
      <c r="A316" t="s">
        <v>604</v>
      </c>
      <c r="B316" s="4">
        <v>46025</v>
      </c>
      <c r="C316" s="7" t="s">
        <v>570</v>
      </c>
      <c r="D316" s="8">
        <v>149</v>
      </c>
      <c r="E316" s="7" t="str">
        <f t="shared" si="4"/>
        <v>Standard</v>
      </c>
    </row>
    <row r="317" spans="1:5" x14ac:dyDescent="0.3">
      <c r="B317" s="4">
        <v>46030</v>
      </c>
      <c r="C317" s="7" t="s">
        <v>570</v>
      </c>
      <c r="D317" s="8">
        <v>1197</v>
      </c>
      <c r="E317" s="7" t="str">
        <f t="shared" si="4"/>
        <v>Standard</v>
      </c>
    </row>
    <row r="318" spans="1:5" x14ac:dyDescent="0.3">
      <c r="B318" s="4">
        <v>46031</v>
      </c>
      <c r="C318" s="7" t="s">
        <v>570</v>
      </c>
      <c r="D318" s="8">
        <v>99</v>
      </c>
      <c r="E318" s="7" t="str">
        <f t="shared" si="4"/>
        <v>Standard</v>
      </c>
    </row>
    <row r="319" spans="1:5" x14ac:dyDescent="0.3">
      <c r="B319" s="4">
        <v>46034</v>
      </c>
      <c r="C319" s="7" t="s">
        <v>570</v>
      </c>
      <c r="D319" s="8">
        <v>499</v>
      </c>
      <c r="E319" s="7" t="str">
        <f t="shared" si="4"/>
        <v>Standard</v>
      </c>
    </row>
    <row r="320" spans="1:5" x14ac:dyDescent="0.3">
      <c r="B320" s="4">
        <v>46035</v>
      </c>
      <c r="C320" s="7" t="s">
        <v>570</v>
      </c>
      <c r="D320" s="8">
        <v>1499</v>
      </c>
      <c r="E320" s="7" t="str">
        <f t="shared" si="4"/>
        <v>Standard</v>
      </c>
    </row>
    <row r="321" spans="1:5" x14ac:dyDescent="0.3">
      <c r="B321" s="4">
        <v>46036</v>
      </c>
      <c r="C321" s="7" t="s">
        <v>570</v>
      </c>
      <c r="D321" s="8">
        <v>2497</v>
      </c>
      <c r="E321" s="7" t="str">
        <f t="shared" si="4"/>
        <v>Standard</v>
      </c>
    </row>
    <row r="322" spans="1:5" x14ac:dyDescent="0.3">
      <c r="B322" s="4">
        <v>46037</v>
      </c>
      <c r="C322" s="7" t="s">
        <v>570</v>
      </c>
      <c r="D322" s="8">
        <v>49</v>
      </c>
      <c r="E322" s="7" t="str">
        <f t="shared" si="4"/>
        <v>Standard</v>
      </c>
    </row>
    <row r="323" spans="1:5" x14ac:dyDescent="0.3">
      <c r="B323" s="4">
        <v>46039</v>
      </c>
      <c r="C323" s="7" t="s">
        <v>570</v>
      </c>
      <c r="D323" s="8">
        <v>49</v>
      </c>
      <c r="E323" s="7" t="str">
        <f t="shared" si="4"/>
        <v>Standard</v>
      </c>
    </row>
    <row r="324" spans="1:5" x14ac:dyDescent="0.3">
      <c r="B324" s="4">
        <v>46040</v>
      </c>
      <c r="C324" s="7" t="s">
        <v>570</v>
      </c>
      <c r="D324" s="8">
        <v>799</v>
      </c>
      <c r="E324" s="7" t="str">
        <f t="shared" si="4"/>
        <v>Standard</v>
      </c>
    </row>
    <row r="325" spans="1:5" x14ac:dyDescent="0.3">
      <c r="B325" s="4">
        <v>46048</v>
      </c>
      <c r="C325" s="7" t="s">
        <v>570</v>
      </c>
      <c r="D325" s="8">
        <v>799</v>
      </c>
      <c r="E325" s="7" t="str">
        <f t="shared" ref="E325:E388" si="5">IF(AND(D325 &gt; 5000, C325 &lt;&gt; "East"), "High-Value Merchant Day", "Standard")</f>
        <v>Standard</v>
      </c>
    </row>
    <row r="326" spans="1:5" x14ac:dyDescent="0.3">
      <c r="B326" s="4">
        <v>46050</v>
      </c>
      <c r="C326" s="7" t="s">
        <v>570</v>
      </c>
      <c r="D326" s="8">
        <v>49</v>
      </c>
      <c r="E326" s="7" t="str">
        <f t="shared" si="5"/>
        <v>Standard</v>
      </c>
    </row>
    <row r="327" spans="1:5" x14ac:dyDescent="0.3">
      <c r="B327" s="4">
        <v>46051</v>
      </c>
      <c r="C327" s="7" t="s">
        <v>570</v>
      </c>
      <c r="D327" s="8">
        <v>149</v>
      </c>
      <c r="E327" s="7" t="str">
        <f t="shared" si="5"/>
        <v>Standard</v>
      </c>
    </row>
    <row r="328" spans="1:5" x14ac:dyDescent="0.3">
      <c r="B328" s="4">
        <v>46052</v>
      </c>
      <c r="C328" s="7" t="s">
        <v>570</v>
      </c>
      <c r="D328" s="8">
        <v>49</v>
      </c>
      <c r="E328" s="7" t="str">
        <f t="shared" si="5"/>
        <v>Standard</v>
      </c>
    </row>
    <row r="329" spans="1:5" x14ac:dyDescent="0.3">
      <c r="A329" t="s">
        <v>605</v>
      </c>
      <c r="B329" s="4">
        <v>46027</v>
      </c>
      <c r="C329" s="7" t="s">
        <v>572</v>
      </c>
      <c r="D329" s="8">
        <v>49</v>
      </c>
      <c r="E329" s="7" t="str">
        <f t="shared" si="5"/>
        <v>Standard</v>
      </c>
    </row>
    <row r="330" spans="1:5" x14ac:dyDescent="0.3">
      <c r="B330" s="4">
        <v>46029</v>
      </c>
      <c r="C330" s="7" t="s">
        <v>572</v>
      </c>
      <c r="D330" s="8">
        <v>49</v>
      </c>
      <c r="E330" s="7" t="str">
        <f t="shared" si="5"/>
        <v>Standard</v>
      </c>
    </row>
    <row r="331" spans="1:5" x14ac:dyDescent="0.3">
      <c r="B331" s="4">
        <v>46031</v>
      </c>
      <c r="C331" s="7" t="s">
        <v>572</v>
      </c>
      <c r="D331" s="8">
        <v>1499</v>
      </c>
      <c r="E331" s="7" t="str">
        <f t="shared" si="5"/>
        <v>Standard</v>
      </c>
    </row>
    <row r="332" spans="1:5" x14ac:dyDescent="0.3">
      <c r="B332" s="4">
        <v>46032</v>
      </c>
      <c r="C332" s="7" t="s">
        <v>572</v>
      </c>
      <c r="D332" s="8">
        <v>499</v>
      </c>
      <c r="E332" s="7" t="str">
        <f t="shared" si="5"/>
        <v>Standard</v>
      </c>
    </row>
    <row r="333" spans="1:5" x14ac:dyDescent="0.3">
      <c r="B333" s="4">
        <v>46034</v>
      </c>
      <c r="C333" s="7" t="s">
        <v>572</v>
      </c>
      <c r="D333" s="8">
        <v>598</v>
      </c>
      <c r="E333" s="7" t="str">
        <f t="shared" si="5"/>
        <v>Standard</v>
      </c>
    </row>
    <row r="334" spans="1:5" x14ac:dyDescent="0.3">
      <c r="B334" s="4">
        <v>46035</v>
      </c>
      <c r="C334" s="7" t="s">
        <v>572</v>
      </c>
      <c r="D334" s="8">
        <v>299</v>
      </c>
      <c r="E334" s="7" t="str">
        <f t="shared" si="5"/>
        <v>Standard</v>
      </c>
    </row>
    <row r="335" spans="1:5" x14ac:dyDescent="0.3">
      <c r="B335" s="4">
        <v>46036</v>
      </c>
      <c r="C335" s="7" t="s">
        <v>572</v>
      </c>
      <c r="D335" s="8">
        <v>499</v>
      </c>
      <c r="E335" s="7" t="str">
        <f t="shared" si="5"/>
        <v>Standard</v>
      </c>
    </row>
    <row r="336" spans="1:5" x14ac:dyDescent="0.3">
      <c r="B336" s="4">
        <v>46037</v>
      </c>
      <c r="C336" s="7" t="s">
        <v>572</v>
      </c>
      <c r="D336" s="8">
        <v>299</v>
      </c>
      <c r="E336" s="7" t="str">
        <f t="shared" si="5"/>
        <v>Standard</v>
      </c>
    </row>
    <row r="337" spans="1:5" x14ac:dyDescent="0.3">
      <c r="B337" s="4">
        <v>46038</v>
      </c>
      <c r="C337" s="7" t="s">
        <v>572</v>
      </c>
      <c r="D337" s="8">
        <v>499</v>
      </c>
      <c r="E337" s="7" t="str">
        <f t="shared" si="5"/>
        <v>Standard</v>
      </c>
    </row>
    <row r="338" spans="1:5" x14ac:dyDescent="0.3">
      <c r="B338" s="4">
        <v>46040</v>
      </c>
      <c r="C338" s="7" t="s">
        <v>572</v>
      </c>
      <c r="D338" s="8">
        <v>49</v>
      </c>
      <c r="E338" s="7" t="str">
        <f t="shared" si="5"/>
        <v>Standard</v>
      </c>
    </row>
    <row r="339" spans="1:5" x14ac:dyDescent="0.3">
      <c r="B339" s="4">
        <v>46043</v>
      </c>
      <c r="C339" s="7" t="s">
        <v>572</v>
      </c>
      <c r="D339" s="8">
        <v>49</v>
      </c>
      <c r="E339" s="7" t="str">
        <f t="shared" si="5"/>
        <v>Standard</v>
      </c>
    </row>
    <row r="340" spans="1:5" x14ac:dyDescent="0.3">
      <c r="B340" s="4">
        <v>46044</v>
      </c>
      <c r="C340" s="7" t="s">
        <v>572</v>
      </c>
      <c r="D340" s="8">
        <v>99</v>
      </c>
      <c r="E340" s="7" t="str">
        <f t="shared" si="5"/>
        <v>Standard</v>
      </c>
    </row>
    <row r="341" spans="1:5" x14ac:dyDescent="0.3">
      <c r="B341" s="4">
        <v>46050</v>
      </c>
      <c r="C341" s="7" t="s">
        <v>572</v>
      </c>
      <c r="D341" s="8">
        <v>299</v>
      </c>
      <c r="E341" s="7" t="str">
        <f t="shared" si="5"/>
        <v>Standard</v>
      </c>
    </row>
    <row r="342" spans="1:5" x14ac:dyDescent="0.3">
      <c r="B342" s="4">
        <v>46051</v>
      </c>
      <c r="C342" s="7" t="s">
        <v>572</v>
      </c>
      <c r="D342" s="8">
        <v>49</v>
      </c>
      <c r="E342" s="7" t="str">
        <f t="shared" si="5"/>
        <v>Standard</v>
      </c>
    </row>
    <row r="343" spans="1:5" x14ac:dyDescent="0.3">
      <c r="A343" t="s">
        <v>606</v>
      </c>
      <c r="B343" s="4">
        <v>46025</v>
      </c>
      <c r="C343" s="7" t="s">
        <v>570</v>
      </c>
      <c r="D343" s="8">
        <v>149</v>
      </c>
      <c r="E343" s="7" t="str">
        <f t="shared" si="5"/>
        <v>Standard</v>
      </c>
    </row>
    <row r="344" spans="1:5" x14ac:dyDescent="0.3">
      <c r="B344" s="4">
        <v>46026</v>
      </c>
      <c r="C344" s="7" t="s">
        <v>570</v>
      </c>
      <c r="D344" s="8">
        <v>49</v>
      </c>
      <c r="E344" s="7" t="str">
        <f t="shared" si="5"/>
        <v>Standard</v>
      </c>
    </row>
    <row r="345" spans="1:5" x14ac:dyDescent="0.3">
      <c r="B345" s="4">
        <v>46028</v>
      </c>
      <c r="C345" s="7" t="s">
        <v>570</v>
      </c>
      <c r="D345" s="8">
        <v>149</v>
      </c>
      <c r="E345" s="7" t="str">
        <f t="shared" si="5"/>
        <v>Standard</v>
      </c>
    </row>
    <row r="346" spans="1:5" x14ac:dyDescent="0.3">
      <c r="B346" s="4">
        <v>46031</v>
      </c>
      <c r="C346" s="7" t="s">
        <v>570</v>
      </c>
      <c r="D346" s="8">
        <v>499</v>
      </c>
      <c r="E346" s="7" t="str">
        <f t="shared" si="5"/>
        <v>Standard</v>
      </c>
    </row>
    <row r="347" spans="1:5" x14ac:dyDescent="0.3">
      <c r="B347" s="4">
        <v>46035</v>
      </c>
      <c r="C347" s="7" t="s">
        <v>570</v>
      </c>
      <c r="D347" s="8">
        <v>1999</v>
      </c>
      <c r="E347" s="7" t="str">
        <f t="shared" si="5"/>
        <v>Standard</v>
      </c>
    </row>
    <row r="348" spans="1:5" x14ac:dyDescent="0.3">
      <c r="B348" s="4">
        <v>46037</v>
      </c>
      <c r="C348" s="7" t="s">
        <v>570</v>
      </c>
      <c r="D348" s="8">
        <v>148</v>
      </c>
      <c r="E348" s="7" t="str">
        <f t="shared" si="5"/>
        <v>Standard</v>
      </c>
    </row>
    <row r="349" spans="1:5" x14ac:dyDescent="0.3">
      <c r="B349" s="4">
        <v>46040</v>
      </c>
      <c r="C349" s="7" t="s">
        <v>570</v>
      </c>
      <c r="D349" s="8">
        <v>149</v>
      </c>
      <c r="E349" s="7" t="str">
        <f t="shared" si="5"/>
        <v>Standard</v>
      </c>
    </row>
    <row r="350" spans="1:5" x14ac:dyDescent="0.3">
      <c r="B350" s="4">
        <v>46043</v>
      </c>
      <c r="C350" s="7" t="s">
        <v>570</v>
      </c>
      <c r="D350" s="8">
        <v>348</v>
      </c>
      <c r="E350" s="7" t="str">
        <f t="shared" si="5"/>
        <v>Standard</v>
      </c>
    </row>
    <row r="351" spans="1:5" x14ac:dyDescent="0.3">
      <c r="B351" s="4">
        <v>46046</v>
      </c>
      <c r="C351" s="7" t="s">
        <v>570</v>
      </c>
      <c r="D351" s="8">
        <v>49</v>
      </c>
      <c r="E351" s="7" t="str">
        <f t="shared" si="5"/>
        <v>Standard</v>
      </c>
    </row>
    <row r="352" spans="1:5" x14ac:dyDescent="0.3">
      <c r="B352" s="4">
        <v>46047</v>
      </c>
      <c r="C352" s="7" t="s">
        <v>570</v>
      </c>
      <c r="D352" s="8">
        <v>49</v>
      </c>
      <c r="E352" s="7" t="str">
        <f t="shared" si="5"/>
        <v>Standard</v>
      </c>
    </row>
    <row r="353" spans="1:5" x14ac:dyDescent="0.3">
      <c r="B353" s="4">
        <v>46049</v>
      </c>
      <c r="C353" s="7" t="s">
        <v>570</v>
      </c>
      <c r="D353" s="8">
        <v>1499</v>
      </c>
      <c r="E353" s="7" t="str">
        <f t="shared" si="5"/>
        <v>Standard</v>
      </c>
    </row>
    <row r="354" spans="1:5" x14ac:dyDescent="0.3">
      <c r="B354" s="4">
        <v>46050</v>
      </c>
      <c r="C354" s="7" t="s">
        <v>570</v>
      </c>
      <c r="D354" s="8">
        <v>2999</v>
      </c>
      <c r="E354" s="7" t="str">
        <f t="shared" si="5"/>
        <v>Standard</v>
      </c>
    </row>
    <row r="355" spans="1:5" x14ac:dyDescent="0.3">
      <c r="A355" t="s">
        <v>607</v>
      </c>
      <c r="B355" s="4">
        <v>46025</v>
      </c>
      <c r="C355" s="7" t="s">
        <v>572</v>
      </c>
      <c r="D355" s="8">
        <v>149</v>
      </c>
      <c r="E355" s="7" t="str">
        <f t="shared" si="5"/>
        <v>Standard</v>
      </c>
    </row>
    <row r="356" spans="1:5" x14ac:dyDescent="0.3">
      <c r="B356" s="4">
        <v>46026</v>
      </c>
      <c r="C356" s="7" t="s">
        <v>572</v>
      </c>
      <c r="D356" s="8">
        <v>4999</v>
      </c>
      <c r="E356" s="7" t="str">
        <f t="shared" si="5"/>
        <v>Standard</v>
      </c>
    </row>
    <row r="357" spans="1:5" x14ac:dyDescent="0.3">
      <c r="B357" s="4">
        <v>46034</v>
      </c>
      <c r="C357" s="7" t="s">
        <v>572</v>
      </c>
      <c r="D357" s="8">
        <v>299</v>
      </c>
      <c r="E357" s="7" t="str">
        <f t="shared" si="5"/>
        <v>Standard</v>
      </c>
    </row>
    <row r="358" spans="1:5" x14ac:dyDescent="0.3">
      <c r="B358" s="4">
        <v>46037</v>
      </c>
      <c r="C358" s="7" t="s">
        <v>572</v>
      </c>
      <c r="D358" s="8">
        <v>799</v>
      </c>
      <c r="E358" s="7" t="str">
        <f t="shared" si="5"/>
        <v>Standard</v>
      </c>
    </row>
    <row r="359" spans="1:5" x14ac:dyDescent="0.3">
      <c r="B359" s="4">
        <v>46042</v>
      </c>
      <c r="C359" s="7" t="s">
        <v>572</v>
      </c>
      <c r="D359" s="8">
        <v>499</v>
      </c>
      <c r="E359" s="7" t="str">
        <f t="shared" si="5"/>
        <v>Standard</v>
      </c>
    </row>
    <row r="360" spans="1:5" x14ac:dyDescent="0.3">
      <c r="B360" s="4">
        <v>46043</v>
      </c>
      <c r="C360" s="7" t="s">
        <v>572</v>
      </c>
      <c r="D360" s="8">
        <v>3298</v>
      </c>
      <c r="E360" s="7" t="str">
        <f t="shared" si="5"/>
        <v>Standard</v>
      </c>
    </row>
    <row r="361" spans="1:5" x14ac:dyDescent="0.3">
      <c r="B361" s="4">
        <v>46044</v>
      </c>
      <c r="C361" s="7" t="s">
        <v>572</v>
      </c>
      <c r="D361" s="8">
        <v>99</v>
      </c>
      <c r="E361" s="7" t="str">
        <f t="shared" si="5"/>
        <v>Standard</v>
      </c>
    </row>
    <row r="362" spans="1:5" x14ac:dyDescent="0.3">
      <c r="B362" s="4">
        <v>46045</v>
      </c>
      <c r="C362" s="7" t="s">
        <v>572</v>
      </c>
      <c r="D362" s="8">
        <v>49</v>
      </c>
      <c r="E362" s="7" t="str">
        <f t="shared" si="5"/>
        <v>Standard</v>
      </c>
    </row>
    <row r="363" spans="1:5" x14ac:dyDescent="0.3">
      <c r="B363" s="4">
        <v>46046</v>
      </c>
      <c r="C363" s="7" t="s">
        <v>572</v>
      </c>
      <c r="D363" s="8">
        <v>49</v>
      </c>
      <c r="E363" s="7" t="str">
        <f t="shared" si="5"/>
        <v>Standard</v>
      </c>
    </row>
    <row r="364" spans="1:5" x14ac:dyDescent="0.3">
      <c r="B364" s="4">
        <v>46047</v>
      </c>
      <c r="C364" s="7" t="s">
        <v>572</v>
      </c>
      <c r="D364" s="8">
        <v>99</v>
      </c>
      <c r="E364" s="7" t="str">
        <f t="shared" si="5"/>
        <v>Standard</v>
      </c>
    </row>
    <row r="365" spans="1:5" x14ac:dyDescent="0.3">
      <c r="A365" t="s">
        <v>608</v>
      </c>
      <c r="B365" s="4">
        <v>46024</v>
      </c>
      <c r="C365" s="7" t="s">
        <v>567</v>
      </c>
      <c r="D365" s="8">
        <v>548</v>
      </c>
      <c r="E365" s="7" t="str">
        <f t="shared" si="5"/>
        <v>Standard</v>
      </c>
    </row>
    <row r="366" spans="1:5" x14ac:dyDescent="0.3">
      <c r="B366" s="4">
        <v>46027</v>
      </c>
      <c r="C366" s="7" t="s">
        <v>567</v>
      </c>
      <c r="D366" s="8">
        <v>2999</v>
      </c>
      <c r="E366" s="7" t="str">
        <f t="shared" si="5"/>
        <v>Standard</v>
      </c>
    </row>
    <row r="367" spans="1:5" x14ac:dyDescent="0.3">
      <c r="B367" s="4">
        <v>46031</v>
      </c>
      <c r="C367" s="7" t="s">
        <v>567</v>
      </c>
      <c r="D367" s="8">
        <v>299</v>
      </c>
      <c r="E367" s="7" t="str">
        <f t="shared" si="5"/>
        <v>Standard</v>
      </c>
    </row>
    <row r="368" spans="1:5" x14ac:dyDescent="0.3">
      <c r="B368" s="4">
        <v>46032</v>
      </c>
      <c r="C368" s="7" t="s">
        <v>567</v>
      </c>
      <c r="D368" s="8">
        <v>49</v>
      </c>
      <c r="E368" s="7" t="str">
        <f t="shared" si="5"/>
        <v>Standard</v>
      </c>
    </row>
    <row r="369" spans="1:5" x14ac:dyDescent="0.3">
      <c r="B369" s="4">
        <v>46034</v>
      </c>
      <c r="C369" s="7" t="s">
        <v>567</v>
      </c>
      <c r="D369" s="8">
        <v>399</v>
      </c>
      <c r="E369" s="7" t="str">
        <f t="shared" si="5"/>
        <v>Standard</v>
      </c>
    </row>
    <row r="370" spans="1:5" x14ac:dyDescent="0.3">
      <c r="B370" s="4">
        <v>46039</v>
      </c>
      <c r="C370" s="7" t="s">
        <v>567</v>
      </c>
      <c r="D370" s="8">
        <v>299</v>
      </c>
      <c r="E370" s="7" t="str">
        <f t="shared" si="5"/>
        <v>Standard</v>
      </c>
    </row>
    <row r="371" spans="1:5" x14ac:dyDescent="0.3">
      <c r="B371" s="4">
        <v>46040</v>
      </c>
      <c r="C371" s="7" t="s">
        <v>567</v>
      </c>
      <c r="D371" s="8">
        <v>148</v>
      </c>
      <c r="E371" s="7" t="str">
        <f t="shared" si="5"/>
        <v>Standard</v>
      </c>
    </row>
    <row r="372" spans="1:5" x14ac:dyDescent="0.3">
      <c r="B372" s="4">
        <v>46041</v>
      </c>
      <c r="C372" s="7" t="s">
        <v>567</v>
      </c>
      <c r="D372" s="8">
        <v>499</v>
      </c>
      <c r="E372" s="7" t="str">
        <f t="shared" si="5"/>
        <v>Standard</v>
      </c>
    </row>
    <row r="373" spans="1:5" x14ac:dyDescent="0.3">
      <c r="B373" s="4">
        <v>46043</v>
      </c>
      <c r="C373" s="7" t="s">
        <v>567</v>
      </c>
      <c r="D373" s="8">
        <v>799</v>
      </c>
      <c r="E373" s="7" t="str">
        <f t="shared" si="5"/>
        <v>Standard</v>
      </c>
    </row>
    <row r="374" spans="1:5" x14ac:dyDescent="0.3">
      <c r="B374" s="4">
        <v>46044</v>
      </c>
      <c r="C374" s="7" t="s">
        <v>567</v>
      </c>
      <c r="D374" s="8">
        <v>299</v>
      </c>
      <c r="E374" s="7" t="str">
        <f t="shared" si="5"/>
        <v>Standard</v>
      </c>
    </row>
    <row r="375" spans="1:5" x14ac:dyDescent="0.3">
      <c r="B375" s="4">
        <v>46045</v>
      </c>
      <c r="C375" s="7" t="s">
        <v>567</v>
      </c>
      <c r="D375" s="8">
        <v>3148</v>
      </c>
      <c r="E375" s="7" t="str">
        <f t="shared" si="5"/>
        <v>Standard</v>
      </c>
    </row>
    <row r="376" spans="1:5" x14ac:dyDescent="0.3">
      <c r="B376" s="4">
        <v>46046</v>
      </c>
      <c r="C376" s="7" t="s">
        <v>567</v>
      </c>
      <c r="D376" s="8">
        <v>548</v>
      </c>
      <c r="E376" s="7" t="str">
        <f t="shared" si="5"/>
        <v>Standard</v>
      </c>
    </row>
    <row r="377" spans="1:5" x14ac:dyDescent="0.3">
      <c r="A377" t="s">
        <v>609</v>
      </c>
      <c r="B377" s="4">
        <v>46023</v>
      </c>
      <c r="C377" s="7" t="s">
        <v>572</v>
      </c>
      <c r="D377" s="8">
        <v>798</v>
      </c>
      <c r="E377" s="7" t="str">
        <f t="shared" si="5"/>
        <v>Standard</v>
      </c>
    </row>
    <row r="378" spans="1:5" x14ac:dyDescent="0.3">
      <c r="B378" s="4">
        <v>46024</v>
      </c>
      <c r="C378" s="7" t="s">
        <v>572</v>
      </c>
      <c r="D378" s="8">
        <v>1847</v>
      </c>
      <c r="E378" s="7" t="str">
        <f t="shared" si="5"/>
        <v>Standard</v>
      </c>
    </row>
    <row r="379" spans="1:5" x14ac:dyDescent="0.3">
      <c r="B379" s="4">
        <v>46033</v>
      </c>
      <c r="C379" s="7" t="s">
        <v>572</v>
      </c>
      <c r="D379" s="8">
        <v>4999</v>
      </c>
      <c r="E379" s="7" t="str">
        <f t="shared" si="5"/>
        <v>Standard</v>
      </c>
    </row>
    <row r="380" spans="1:5" x14ac:dyDescent="0.3">
      <c r="B380" s="4">
        <v>46034</v>
      </c>
      <c r="C380" s="7" t="s">
        <v>572</v>
      </c>
      <c r="D380" s="8">
        <v>99</v>
      </c>
      <c r="E380" s="7" t="str">
        <f t="shared" si="5"/>
        <v>Standard</v>
      </c>
    </row>
    <row r="381" spans="1:5" x14ac:dyDescent="0.3">
      <c r="B381" s="4">
        <v>46035</v>
      </c>
      <c r="C381" s="7" t="s">
        <v>572</v>
      </c>
      <c r="D381" s="8">
        <v>149</v>
      </c>
      <c r="E381" s="7" t="str">
        <f t="shared" si="5"/>
        <v>Standard</v>
      </c>
    </row>
    <row r="382" spans="1:5" x14ac:dyDescent="0.3">
      <c r="B382" s="4">
        <v>46043</v>
      </c>
      <c r="C382" s="7" t="s">
        <v>572</v>
      </c>
      <c r="D382" s="8">
        <v>299</v>
      </c>
      <c r="E382" s="7" t="str">
        <f t="shared" si="5"/>
        <v>Standard</v>
      </c>
    </row>
    <row r="383" spans="1:5" x14ac:dyDescent="0.3">
      <c r="B383" s="4">
        <v>46044</v>
      </c>
      <c r="C383" s="7" t="s">
        <v>572</v>
      </c>
      <c r="D383" s="8">
        <v>299</v>
      </c>
      <c r="E383" s="7" t="str">
        <f t="shared" si="5"/>
        <v>Standard</v>
      </c>
    </row>
    <row r="384" spans="1:5" x14ac:dyDescent="0.3">
      <c r="B384" s="4">
        <v>46046</v>
      </c>
      <c r="C384" s="7" t="s">
        <v>572</v>
      </c>
      <c r="D384" s="8">
        <v>149</v>
      </c>
      <c r="E384" s="7" t="str">
        <f t="shared" si="5"/>
        <v>Standard</v>
      </c>
    </row>
    <row r="385" spans="1:5" x14ac:dyDescent="0.3">
      <c r="B385" s="4">
        <v>46048</v>
      </c>
      <c r="C385" s="7" t="s">
        <v>572</v>
      </c>
      <c r="D385" s="8">
        <v>499</v>
      </c>
      <c r="E385" s="7" t="str">
        <f t="shared" si="5"/>
        <v>Standard</v>
      </c>
    </row>
    <row r="386" spans="1:5" x14ac:dyDescent="0.3">
      <c r="B386" s="4">
        <v>46050</v>
      </c>
      <c r="C386" s="7" t="s">
        <v>572</v>
      </c>
      <c r="D386" s="8">
        <v>49</v>
      </c>
      <c r="E386" s="7" t="str">
        <f t="shared" si="5"/>
        <v>Standard</v>
      </c>
    </row>
    <row r="387" spans="1:5" x14ac:dyDescent="0.3">
      <c r="B387" s="4">
        <v>46052</v>
      </c>
      <c r="C387" s="7" t="s">
        <v>572</v>
      </c>
      <c r="D387" s="8">
        <v>99</v>
      </c>
      <c r="E387" s="7" t="str">
        <f t="shared" si="5"/>
        <v>Standard</v>
      </c>
    </row>
    <row r="388" spans="1:5" x14ac:dyDescent="0.3">
      <c r="A388" t="s">
        <v>610</v>
      </c>
      <c r="B388" s="4">
        <v>46023</v>
      </c>
      <c r="C388" s="7" t="s">
        <v>572</v>
      </c>
      <c r="D388" s="8">
        <v>149</v>
      </c>
      <c r="E388" s="7" t="str">
        <f t="shared" si="5"/>
        <v>Standard</v>
      </c>
    </row>
    <row r="389" spans="1:5" x14ac:dyDescent="0.3">
      <c r="B389" s="4">
        <v>46024</v>
      </c>
      <c r="C389" s="7" t="s">
        <v>572</v>
      </c>
      <c r="D389" s="8">
        <v>299</v>
      </c>
      <c r="E389" s="7" t="str">
        <f t="shared" ref="E389:E447" si="6">IF(AND(D389 &gt; 5000, C389 &lt;&gt; "East"), "High-Value Merchant Day", "Standard")</f>
        <v>Standard</v>
      </c>
    </row>
    <row r="390" spans="1:5" x14ac:dyDescent="0.3">
      <c r="B390" s="4">
        <v>46025</v>
      </c>
      <c r="C390" s="7" t="s">
        <v>572</v>
      </c>
      <c r="D390" s="8">
        <v>248</v>
      </c>
      <c r="E390" s="7" t="str">
        <f t="shared" si="6"/>
        <v>Standard</v>
      </c>
    </row>
    <row r="391" spans="1:5" x14ac:dyDescent="0.3">
      <c r="B391" s="4">
        <v>46026</v>
      </c>
      <c r="C391" s="7" t="s">
        <v>572</v>
      </c>
      <c r="D391" s="8">
        <v>149</v>
      </c>
      <c r="E391" s="7" t="str">
        <f t="shared" si="6"/>
        <v>Standard</v>
      </c>
    </row>
    <row r="392" spans="1:5" x14ac:dyDescent="0.3">
      <c r="B392" s="4">
        <v>46038</v>
      </c>
      <c r="C392" s="7" t="s">
        <v>572</v>
      </c>
      <c r="D392" s="8">
        <v>1499</v>
      </c>
      <c r="E392" s="7" t="str">
        <f t="shared" si="6"/>
        <v>Standard</v>
      </c>
    </row>
    <row r="393" spans="1:5" x14ac:dyDescent="0.3">
      <c r="B393" s="4">
        <v>46039</v>
      </c>
      <c r="C393" s="7" t="s">
        <v>572</v>
      </c>
      <c r="D393" s="8">
        <v>1499</v>
      </c>
      <c r="E393" s="7" t="str">
        <f t="shared" si="6"/>
        <v>Standard</v>
      </c>
    </row>
    <row r="394" spans="1:5" x14ac:dyDescent="0.3">
      <c r="B394" s="4">
        <v>46041</v>
      </c>
      <c r="C394" s="7" t="s">
        <v>572</v>
      </c>
      <c r="D394" s="8">
        <v>4999</v>
      </c>
      <c r="E394" s="7" t="str">
        <f t="shared" si="6"/>
        <v>Standard</v>
      </c>
    </row>
    <row r="395" spans="1:5" x14ac:dyDescent="0.3">
      <c r="B395" s="4">
        <v>46042</v>
      </c>
      <c r="C395" s="7" t="s">
        <v>572</v>
      </c>
      <c r="D395" s="8">
        <v>49</v>
      </c>
      <c r="E395" s="7" t="str">
        <f t="shared" si="6"/>
        <v>Standard</v>
      </c>
    </row>
    <row r="396" spans="1:5" x14ac:dyDescent="0.3">
      <c r="B396" s="4">
        <v>46046</v>
      </c>
      <c r="C396" s="7" t="s">
        <v>572</v>
      </c>
      <c r="D396" s="8">
        <v>1647</v>
      </c>
      <c r="E396" s="7" t="str">
        <f t="shared" si="6"/>
        <v>Standard</v>
      </c>
    </row>
    <row r="397" spans="1:5" x14ac:dyDescent="0.3">
      <c r="B397" s="4">
        <v>46048</v>
      </c>
      <c r="C397" s="7" t="s">
        <v>572</v>
      </c>
      <c r="D397" s="8">
        <v>198</v>
      </c>
      <c r="E397" s="7" t="str">
        <f t="shared" si="6"/>
        <v>Standard</v>
      </c>
    </row>
    <row r="398" spans="1:5" x14ac:dyDescent="0.3">
      <c r="B398" s="4">
        <v>46050</v>
      </c>
      <c r="C398" s="7" t="s">
        <v>572</v>
      </c>
      <c r="D398" s="8">
        <v>999</v>
      </c>
      <c r="E398" s="7" t="str">
        <f t="shared" si="6"/>
        <v>Standard</v>
      </c>
    </row>
    <row r="399" spans="1:5" x14ac:dyDescent="0.3">
      <c r="B399" s="4">
        <v>46051</v>
      </c>
      <c r="C399" s="7" t="s">
        <v>572</v>
      </c>
      <c r="D399" s="8">
        <v>799</v>
      </c>
      <c r="E399" s="7" t="str">
        <f t="shared" si="6"/>
        <v>Standard</v>
      </c>
    </row>
    <row r="400" spans="1:5" x14ac:dyDescent="0.3">
      <c r="A400" t="s">
        <v>612</v>
      </c>
      <c r="B400" s="4">
        <v>46023</v>
      </c>
      <c r="C400" s="7" t="s">
        <v>567</v>
      </c>
      <c r="D400" s="8">
        <v>598</v>
      </c>
      <c r="E400" s="7" t="str">
        <f t="shared" si="6"/>
        <v>Standard</v>
      </c>
    </row>
    <row r="401" spans="1:5" x14ac:dyDescent="0.3">
      <c r="B401" s="4">
        <v>46024</v>
      </c>
      <c r="C401" s="7" t="s">
        <v>567</v>
      </c>
      <c r="D401" s="8">
        <v>2999</v>
      </c>
      <c r="E401" s="7" t="str">
        <f t="shared" si="6"/>
        <v>Standard</v>
      </c>
    </row>
    <row r="402" spans="1:5" x14ac:dyDescent="0.3">
      <c r="B402" s="4">
        <v>46025</v>
      </c>
      <c r="C402" s="7" t="s">
        <v>567</v>
      </c>
      <c r="D402" s="8">
        <v>299</v>
      </c>
      <c r="E402" s="7" t="str">
        <f t="shared" si="6"/>
        <v>Standard</v>
      </c>
    </row>
    <row r="403" spans="1:5" x14ac:dyDescent="0.3">
      <c r="B403" s="4">
        <v>46026</v>
      </c>
      <c r="C403" s="7" t="s">
        <v>567</v>
      </c>
      <c r="D403" s="8">
        <v>49</v>
      </c>
      <c r="E403" s="7" t="str">
        <f t="shared" si="6"/>
        <v>Standard</v>
      </c>
    </row>
    <row r="404" spans="1:5" x14ac:dyDescent="0.3">
      <c r="B404" s="4">
        <v>46027</v>
      </c>
      <c r="C404" s="7" t="s">
        <v>567</v>
      </c>
      <c r="D404" s="8">
        <v>1499</v>
      </c>
      <c r="E404" s="7" t="str">
        <f t="shared" si="6"/>
        <v>Standard</v>
      </c>
    </row>
    <row r="405" spans="1:5" x14ac:dyDescent="0.3">
      <c r="B405" s="4">
        <v>46028</v>
      </c>
      <c r="C405" s="7" t="s">
        <v>567</v>
      </c>
      <c r="D405" s="8">
        <v>99</v>
      </c>
      <c r="E405" s="7" t="str">
        <f t="shared" si="6"/>
        <v>Standard</v>
      </c>
    </row>
    <row r="406" spans="1:5" x14ac:dyDescent="0.3">
      <c r="B406" s="4">
        <v>46034</v>
      </c>
      <c r="C406" s="7" t="s">
        <v>567</v>
      </c>
      <c r="D406" s="8">
        <v>149</v>
      </c>
      <c r="E406" s="7" t="str">
        <f t="shared" si="6"/>
        <v>Standard</v>
      </c>
    </row>
    <row r="407" spans="1:5" x14ac:dyDescent="0.3">
      <c r="B407" s="4">
        <v>46038</v>
      </c>
      <c r="C407" s="7" t="s">
        <v>567</v>
      </c>
      <c r="D407" s="8">
        <v>2999</v>
      </c>
      <c r="E407" s="7" t="str">
        <f t="shared" si="6"/>
        <v>Standard</v>
      </c>
    </row>
    <row r="408" spans="1:5" x14ac:dyDescent="0.3">
      <c r="B408" s="4">
        <v>46039</v>
      </c>
      <c r="C408" s="7" t="s">
        <v>567</v>
      </c>
      <c r="D408" s="8">
        <v>49</v>
      </c>
      <c r="E408" s="7" t="str">
        <f t="shared" si="6"/>
        <v>Standard</v>
      </c>
    </row>
    <row r="409" spans="1:5" x14ac:dyDescent="0.3">
      <c r="B409" s="4">
        <v>46042</v>
      </c>
      <c r="C409" s="7" t="s">
        <v>567</v>
      </c>
      <c r="D409" s="8">
        <v>149</v>
      </c>
      <c r="E409" s="7" t="str">
        <f t="shared" si="6"/>
        <v>Standard</v>
      </c>
    </row>
    <row r="410" spans="1:5" x14ac:dyDescent="0.3">
      <c r="B410" s="4">
        <v>46043</v>
      </c>
      <c r="C410" s="7" t="s">
        <v>567</v>
      </c>
      <c r="D410" s="8">
        <v>99</v>
      </c>
      <c r="E410" s="7" t="str">
        <f t="shared" si="6"/>
        <v>Standard</v>
      </c>
    </row>
    <row r="411" spans="1:5" x14ac:dyDescent="0.3">
      <c r="B411" s="4">
        <v>46045</v>
      </c>
      <c r="C411" s="7" t="s">
        <v>567</v>
      </c>
      <c r="D411" s="8">
        <v>1999</v>
      </c>
      <c r="E411" s="7" t="str">
        <f t="shared" si="6"/>
        <v>Standard</v>
      </c>
    </row>
    <row r="412" spans="1:5" x14ac:dyDescent="0.3">
      <c r="B412" s="4">
        <v>46049</v>
      </c>
      <c r="C412" s="7" t="s">
        <v>567</v>
      </c>
      <c r="D412" s="8">
        <v>799</v>
      </c>
      <c r="E412" s="7" t="str">
        <f t="shared" si="6"/>
        <v>Standard</v>
      </c>
    </row>
    <row r="413" spans="1:5" x14ac:dyDescent="0.3">
      <c r="B413" s="4">
        <v>46050</v>
      </c>
      <c r="C413" s="7" t="s">
        <v>567</v>
      </c>
      <c r="D413" s="8">
        <v>697</v>
      </c>
      <c r="E413" s="7" t="str">
        <f t="shared" si="6"/>
        <v>Standard</v>
      </c>
    </row>
    <row r="414" spans="1:5" x14ac:dyDescent="0.3">
      <c r="B414" s="4">
        <v>46051</v>
      </c>
      <c r="C414" s="7" t="s">
        <v>567</v>
      </c>
      <c r="D414" s="8">
        <v>149</v>
      </c>
      <c r="E414" s="7" t="str">
        <f t="shared" si="6"/>
        <v>Standard</v>
      </c>
    </row>
    <row r="415" spans="1:5" x14ac:dyDescent="0.3">
      <c r="B415" s="4">
        <v>46052</v>
      </c>
      <c r="C415" s="7" t="s">
        <v>567</v>
      </c>
      <c r="D415" s="8">
        <v>299</v>
      </c>
      <c r="E415" s="7" t="str">
        <f t="shared" si="6"/>
        <v>Standard</v>
      </c>
    </row>
    <row r="416" spans="1:5" x14ac:dyDescent="0.3">
      <c r="A416" t="s">
        <v>613</v>
      </c>
      <c r="B416" s="4">
        <v>46027</v>
      </c>
      <c r="C416" s="7" t="s">
        <v>572</v>
      </c>
      <c r="D416" s="8">
        <v>1499</v>
      </c>
      <c r="E416" s="7" t="str">
        <f t="shared" si="6"/>
        <v>Standard</v>
      </c>
    </row>
    <row r="417" spans="1:5" x14ac:dyDescent="0.3">
      <c r="B417" s="4">
        <v>46028</v>
      </c>
      <c r="C417" s="7" t="s">
        <v>572</v>
      </c>
      <c r="D417" s="8">
        <v>99</v>
      </c>
      <c r="E417" s="7" t="str">
        <f t="shared" si="6"/>
        <v>Standard</v>
      </c>
    </row>
    <row r="418" spans="1:5" x14ac:dyDescent="0.3">
      <c r="B418" s="4">
        <v>46031</v>
      </c>
      <c r="C418" s="7" t="s">
        <v>572</v>
      </c>
      <c r="D418" s="8">
        <v>348</v>
      </c>
      <c r="E418" s="7" t="str">
        <f t="shared" si="6"/>
        <v>Standard</v>
      </c>
    </row>
    <row r="419" spans="1:5" x14ac:dyDescent="0.3">
      <c r="B419" s="4">
        <v>46032</v>
      </c>
      <c r="C419" s="7" t="s">
        <v>572</v>
      </c>
      <c r="D419" s="8">
        <v>398</v>
      </c>
      <c r="E419" s="7" t="str">
        <f t="shared" si="6"/>
        <v>Standard</v>
      </c>
    </row>
    <row r="420" spans="1:5" x14ac:dyDescent="0.3">
      <c r="B420" s="4">
        <v>46037</v>
      </c>
      <c r="C420" s="7" t="s">
        <v>572</v>
      </c>
      <c r="D420" s="8">
        <v>499</v>
      </c>
      <c r="E420" s="7" t="str">
        <f t="shared" si="6"/>
        <v>Standard</v>
      </c>
    </row>
    <row r="421" spans="1:5" x14ac:dyDescent="0.3">
      <c r="B421" s="4">
        <v>46044</v>
      </c>
      <c r="C421" s="7" t="s">
        <v>572</v>
      </c>
      <c r="D421" s="8">
        <v>299</v>
      </c>
      <c r="E421" s="7" t="str">
        <f t="shared" si="6"/>
        <v>Standard</v>
      </c>
    </row>
    <row r="422" spans="1:5" x14ac:dyDescent="0.3">
      <c r="B422" s="4">
        <v>46045</v>
      </c>
      <c r="C422" s="7" t="s">
        <v>572</v>
      </c>
      <c r="D422" s="8">
        <v>499</v>
      </c>
      <c r="E422" s="7" t="str">
        <f t="shared" si="6"/>
        <v>Standard</v>
      </c>
    </row>
    <row r="423" spans="1:5" x14ac:dyDescent="0.3">
      <c r="B423" s="4">
        <v>46050</v>
      </c>
      <c r="C423" s="7" t="s">
        <v>572</v>
      </c>
      <c r="D423" s="8">
        <v>299</v>
      </c>
      <c r="E423" s="7" t="str">
        <f t="shared" si="6"/>
        <v>Standard</v>
      </c>
    </row>
    <row r="424" spans="1:5" x14ac:dyDescent="0.3">
      <c r="A424" t="s">
        <v>614</v>
      </c>
      <c r="B424" s="4">
        <v>46024</v>
      </c>
      <c r="C424" s="7" t="s">
        <v>580</v>
      </c>
      <c r="D424" s="8">
        <v>499</v>
      </c>
      <c r="E424" s="7" t="str">
        <f t="shared" si="6"/>
        <v>Standard</v>
      </c>
    </row>
    <row r="425" spans="1:5" x14ac:dyDescent="0.3">
      <c r="B425" s="4">
        <v>46027</v>
      </c>
      <c r="C425" s="7" t="s">
        <v>580</v>
      </c>
      <c r="D425" s="8">
        <v>299</v>
      </c>
      <c r="E425" s="7" t="str">
        <f t="shared" si="6"/>
        <v>Standard</v>
      </c>
    </row>
    <row r="426" spans="1:5" x14ac:dyDescent="0.3">
      <c r="B426" s="4">
        <v>46031</v>
      </c>
      <c r="C426" s="7" t="s">
        <v>580</v>
      </c>
      <c r="D426" s="8">
        <v>399</v>
      </c>
      <c r="E426" s="7" t="str">
        <f t="shared" si="6"/>
        <v>Standard</v>
      </c>
    </row>
    <row r="427" spans="1:5" x14ac:dyDescent="0.3">
      <c r="B427" s="4">
        <v>46032</v>
      </c>
      <c r="C427" s="7" t="s">
        <v>580</v>
      </c>
      <c r="D427" s="8">
        <v>49</v>
      </c>
      <c r="E427" s="7" t="str">
        <f t="shared" si="6"/>
        <v>Standard</v>
      </c>
    </row>
    <row r="428" spans="1:5" x14ac:dyDescent="0.3">
      <c r="B428" s="4">
        <v>46038</v>
      </c>
      <c r="C428" s="7" t="s">
        <v>580</v>
      </c>
      <c r="D428" s="8">
        <v>499</v>
      </c>
      <c r="E428" s="7" t="str">
        <f t="shared" si="6"/>
        <v>Standard</v>
      </c>
    </row>
    <row r="429" spans="1:5" x14ac:dyDescent="0.3">
      <c r="B429" s="4">
        <v>46039</v>
      </c>
      <c r="C429" s="7" t="s">
        <v>580</v>
      </c>
      <c r="D429" s="8">
        <v>2999</v>
      </c>
      <c r="E429" s="7" t="str">
        <f t="shared" si="6"/>
        <v>Standard</v>
      </c>
    </row>
    <row r="430" spans="1:5" x14ac:dyDescent="0.3">
      <c r="B430" s="4">
        <v>46040</v>
      </c>
      <c r="C430" s="7" t="s">
        <v>580</v>
      </c>
      <c r="D430" s="8">
        <v>2999</v>
      </c>
      <c r="E430" s="7" t="str">
        <f t="shared" si="6"/>
        <v>Standard</v>
      </c>
    </row>
    <row r="431" spans="1:5" x14ac:dyDescent="0.3">
      <c r="B431" s="4">
        <v>46044</v>
      </c>
      <c r="C431" s="7" t="s">
        <v>580</v>
      </c>
      <c r="D431" s="8">
        <v>9796</v>
      </c>
      <c r="E431" s="7" t="str">
        <f t="shared" si="6"/>
        <v>High-Value Merchant Day</v>
      </c>
    </row>
    <row r="432" spans="1:5" x14ac:dyDescent="0.3">
      <c r="B432" s="4">
        <v>46045</v>
      </c>
      <c r="C432" s="7" t="s">
        <v>580</v>
      </c>
      <c r="D432" s="8">
        <v>4999</v>
      </c>
      <c r="E432" s="7" t="str">
        <f t="shared" si="6"/>
        <v>Standard</v>
      </c>
    </row>
    <row r="433" spans="1:5" x14ac:dyDescent="0.3">
      <c r="B433" s="4">
        <v>46051</v>
      </c>
      <c r="C433" s="7" t="s">
        <v>580</v>
      </c>
      <c r="D433" s="8">
        <v>149</v>
      </c>
      <c r="E433" s="7" t="str">
        <f t="shared" si="6"/>
        <v>Standard</v>
      </c>
    </row>
    <row r="434" spans="1:5" x14ac:dyDescent="0.3">
      <c r="A434" t="s">
        <v>615</v>
      </c>
      <c r="B434" s="4">
        <v>46023</v>
      </c>
      <c r="C434" s="7" t="s">
        <v>567</v>
      </c>
      <c r="D434" s="8">
        <v>299</v>
      </c>
      <c r="E434" s="7" t="str">
        <f t="shared" si="6"/>
        <v>Standard</v>
      </c>
    </row>
    <row r="435" spans="1:5" x14ac:dyDescent="0.3">
      <c r="B435" s="4">
        <v>46025</v>
      </c>
      <c r="C435" s="7" t="s">
        <v>567</v>
      </c>
      <c r="D435" s="8">
        <v>49</v>
      </c>
      <c r="E435" s="7" t="str">
        <f t="shared" si="6"/>
        <v>Standard</v>
      </c>
    </row>
    <row r="436" spans="1:5" x14ac:dyDescent="0.3">
      <c r="B436" s="4">
        <v>46030</v>
      </c>
      <c r="C436" s="7" t="s">
        <v>567</v>
      </c>
      <c r="D436" s="8">
        <v>49</v>
      </c>
      <c r="E436" s="7" t="str">
        <f t="shared" si="6"/>
        <v>Standard</v>
      </c>
    </row>
    <row r="437" spans="1:5" x14ac:dyDescent="0.3">
      <c r="B437" s="4">
        <v>46033</v>
      </c>
      <c r="C437" s="7" t="s">
        <v>567</v>
      </c>
      <c r="D437" s="8">
        <v>4999</v>
      </c>
      <c r="E437" s="7" t="str">
        <f t="shared" si="6"/>
        <v>Standard</v>
      </c>
    </row>
    <row r="438" spans="1:5" x14ac:dyDescent="0.3">
      <c r="B438" s="4">
        <v>46034</v>
      </c>
      <c r="C438" s="7" t="s">
        <v>567</v>
      </c>
      <c r="D438" s="8">
        <v>99</v>
      </c>
      <c r="E438" s="7" t="str">
        <f t="shared" si="6"/>
        <v>Standard</v>
      </c>
    </row>
    <row r="439" spans="1:5" x14ac:dyDescent="0.3">
      <c r="B439" s="4">
        <v>46035</v>
      </c>
      <c r="C439" s="7" t="s">
        <v>567</v>
      </c>
      <c r="D439" s="8">
        <v>299</v>
      </c>
      <c r="E439" s="7" t="str">
        <f t="shared" si="6"/>
        <v>Standard</v>
      </c>
    </row>
    <row r="440" spans="1:5" x14ac:dyDescent="0.3">
      <c r="B440" s="4">
        <v>46036</v>
      </c>
      <c r="C440" s="7" t="s">
        <v>567</v>
      </c>
      <c r="D440" s="8">
        <v>99</v>
      </c>
      <c r="E440" s="7" t="str">
        <f t="shared" si="6"/>
        <v>Standard</v>
      </c>
    </row>
    <row r="441" spans="1:5" x14ac:dyDescent="0.3">
      <c r="B441" s="4">
        <v>46037</v>
      </c>
      <c r="C441" s="7" t="s">
        <v>567</v>
      </c>
      <c r="D441" s="8">
        <v>149</v>
      </c>
      <c r="E441" s="7" t="str">
        <f t="shared" si="6"/>
        <v>Standard</v>
      </c>
    </row>
    <row r="442" spans="1:5" x14ac:dyDescent="0.3">
      <c r="B442" s="4">
        <v>46040</v>
      </c>
      <c r="C442" s="7" t="s">
        <v>567</v>
      </c>
      <c r="D442" s="8">
        <v>799</v>
      </c>
      <c r="E442" s="7" t="str">
        <f t="shared" si="6"/>
        <v>Standard</v>
      </c>
    </row>
    <row r="443" spans="1:5" x14ac:dyDescent="0.3">
      <c r="B443" s="4">
        <v>46041</v>
      </c>
      <c r="C443" s="7" t="s">
        <v>567</v>
      </c>
      <c r="D443" s="8">
        <v>648</v>
      </c>
      <c r="E443" s="7" t="str">
        <f t="shared" si="6"/>
        <v>Standard</v>
      </c>
    </row>
    <row r="444" spans="1:5" x14ac:dyDescent="0.3">
      <c r="B444" s="4">
        <v>46045</v>
      </c>
      <c r="C444" s="7" t="s">
        <v>567</v>
      </c>
      <c r="D444" s="8">
        <v>598</v>
      </c>
      <c r="E444" s="7" t="str">
        <f t="shared" si="6"/>
        <v>Standard</v>
      </c>
    </row>
    <row r="445" spans="1:5" x14ac:dyDescent="0.3">
      <c r="B445" s="4">
        <v>46051</v>
      </c>
      <c r="C445" s="7" t="s">
        <v>567</v>
      </c>
      <c r="D445" s="8">
        <v>149</v>
      </c>
      <c r="E445" s="7" t="str">
        <f t="shared" si="6"/>
        <v>Standard</v>
      </c>
    </row>
    <row r="446" spans="1:5" x14ac:dyDescent="0.3">
      <c r="B446" s="4">
        <v>46052</v>
      </c>
      <c r="C446" s="7" t="s">
        <v>567</v>
      </c>
      <c r="D446" s="8">
        <v>499</v>
      </c>
      <c r="E446" s="7" t="str">
        <f t="shared" si="6"/>
        <v>Standard</v>
      </c>
    </row>
    <row r="447" spans="1:5" x14ac:dyDescent="0.3">
      <c r="A447" s="7" t="s">
        <v>622</v>
      </c>
      <c r="D447" s="8">
        <v>382603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C8559-8EED-4188-BF09-6CCDE4BD95C5}">
  <dimension ref="A2:D27"/>
  <sheetViews>
    <sheetView tabSelected="1" workbookViewId="0">
      <selection activeCell="E15" sqref="E15"/>
    </sheetView>
  </sheetViews>
  <sheetFormatPr defaultRowHeight="14.4" x14ac:dyDescent="0.3"/>
  <cols>
    <col min="1" max="1" width="15.33203125" bestFit="1" customWidth="1"/>
    <col min="2" max="2" width="12.21875" bestFit="1" customWidth="1"/>
    <col min="3" max="3" width="16.33203125" bestFit="1" customWidth="1"/>
    <col min="4" max="4" width="22" bestFit="1" customWidth="1"/>
  </cols>
  <sheetData>
    <row r="2" spans="1:4" x14ac:dyDescent="0.3">
      <c r="A2" s="5" t="s">
        <v>632</v>
      </c>
      <c r="B2" t="s">
        <v>628</v>
      </c>
      <c r="C2" t="s">
        <v>627</v>
      </c>
      <c r="D2" t="s">
        <v>626</v>
      </c>
    </row>
    <row r="3" spans="1:4" x14ac:dyDescent="0.3">
      <c r="A3" s="6" t="s">
        <v>565</v>
      </c>
      <c r="B3" s="2">
        <v>10441</v>
      </c>
      <c r="C3" s="2">
        <v>9</v>
      </c>
      <c r="D3" s="2">
        <v>7</v>
      </c>
    </row>
    <row r="4" spans="1:4" x14ac:dyDescent="0.3">
      <c r="A4" s="12" t="s">
        <v>10</v>
      </c>
      <c r="B4" s="2">
        <v>10142</v>
      </c>
      <c r="C4" s="2">
        <v>8</v>
      </c>
      <c r="D4" s="2">
        <v>6</v>
      </c>
    </row>
    <row r="5" spans="1:4" x14ac:dyDescent="0.3">
      <c r="A5" s="12" t="s">
        <v>25</v>
      </c>
      <c r="B5" s="2">
        <v>299</v>
      </c>
      <c r="C5" s="2">
        <v>1</v>
      </c>
      <c r="D5" s="2">
        <v>1</v>
      </c>
    </row>
    <row r="6" spans="1:4" x14ac:dyDescent="0.3">
      <c r="A6" s="6" t="s">
        <v>568</v>
      </c>
      <c r="B6" s="2">
        <v>3640</v>
      </c>
      <c r="C6" s="2">
        <v>10</v>
      </c>
      <c r="D6" s="2">
        <v>9</v>
      </c>
    </row>
    <row r="7" spans="1:4" x14ac:dyDescent="0.3">
      <c r="A7" s="12" t="s">
        <v>10</v>
      </c>
      <c r="B7" s="2">
        <v>3640</v>
      </c>
      <c r="C7" s="2">
        <v>10</v>
      </c>
      <c r="D7" s="2">
        <v>9</v>
      </c>
    </row>
    <row r="8" spans="1:4" x14ac:dyDescent="0.3">
      <c r="A8" s="6" t="s">
        <v>571</v>
      </c>
      <c r="B8" s="2">
        <v>8233</v>
      </c>
      <c r="C8" s="2">
        <v>17</v>
      </c>
      <c r="D8" s="2">
        <v>13</v>
      </c>
    </row>
    <row r="9" spans="1:4" x14ac:dyDescent="0.3">
      <c r="A9" s="12" t="s">
        <v>10</v>
      </c>
      <c r="B9" s="2">
        <v>8084</v>
      </c>
      <c r="C9" s="2">
        <v>16</v>
      </c>
      <c r="D9" s="2">
        <v>13</v>
      </c>
    </row>
    <row r="10" spans="1:4" x14ac:dyDescent="0.3">
      <c r="A10" s="12" t="s">
        <v>38</v>
      </c>
      <c r="B10" s="2">
        <v>149</v>
      </c>
      <c r="C10" s="2">
        <v>1</v>
      </c>
      <c r="D10" s="2">
        <v>0</v>
      </c>
    </row>
    <row r="11" spans="1:4" x14ac:dyDescent="0.3">
      <c r="A11" s="6" t="s">
        <v>573</v>
      </c>
      <c r="B11" s="2">
        <v>6941</v>
      </c>
      <c r="C11" s="2">
        <v>9</v>
      </c>
      <c r="D11" s="2">
        <v>7</v>
      </c>
    </row>
    <row r="12" spans="1:4" x14ac:dyDescent="0.3">
      <c r="A12" s="12" t="s">
        <v>10</v>
      </c>
      <c r="B12" s="2">
        <v>6941</v>
      </c>
      <c r="C12" s="2">
        <v>9</v>
      </c>
      <c r="D12" s="2">
        <v>7</v>
      </c>
    </row>
    <row r="13" spans="1:4" x14ac:dyDescent="0.3">
      <c r="A13" s="6" t="s">
        <v>574</v>
      </c>
      <c r="B13" s="2">
        <v>5839</v>
      </c>
      <c r="C13" s="2">
        <v>11</v>
      </c>
      <c r="D13" s="2">
        <v>9</v>
      </c>
    </row>
    <row r="14" spans="1:4" x14ac:dyDescent="0.3">
      <c r="A14" s="12" t="s">
        <v>10</v>
      </c>
      <c r="B14" s="2">
        <v>5340</v>
      </c>
      <c r="C14" s="2">
        <v>10</v>
      </c>
      <c r="D14" s="2">
        <v>8</v>
      </c>
    </row>
    <row r="15" spans="1:4" x14ac:dyDescent="0.3">
      <c r="A15" s="12" t="s">
        <v>25</v>
      </c>
      <c r="B15" s="2">
        <v>499</v>
      </c>
      <c r="C15" s="2">
        <v>1</v>
      </c>
      <c r="D15" s="2">
        <v>1</v>
      </c>
    </row>
    <row r="16" spans="1:4" x14ac:dyDescent="0.3">
      <c r="A16" s="6" t="s">
        <v>576</v>
      </c>
      <c r="B16" s="2">
        <v>7436</v>
      </c>
      <c r="C16" s="2">
        <v>14</v>
      </c>
      <c r="D16" s="2">
        <v>12</v>
      </c>
    </row>
    <row r="17" spans="1:4" x14ac:dyDescent="0.3">
      <c r="A17" s="12" t="s">
        <v>10</v>
      </c>
      <c r="B17" s="2">
        <v>6637</v>
      </c>
      <c r="C17" s="2">
        <v>13</v>
      </c>
      <c r="D17" s="2">
        <v>11</v>
      </c>
    </row>
    <row r="18" spans="1:4" x14ac:dyDescent="0.3">
      <c r="A18" s="12" t="s">
        <v>38</v>
      </c>
      <c r="B18" s="2">
        <v>799</v>
      </c>
      <c r="C18" s="2">
        <v>1</v>
      </c>
      <c r="D18" s="2">
        <v>1</v>
      </c>
    </row>
    <row r="19" spans="1:4" x14ac:dyDescent="0.3">
      <c r="A19" s="6" t="s">
        <v>578</v>
      </c>
      <c r="B19" s="2">
        <v>15934</v>
      </c>
      <c r="C19" s="2">
        <v>16</v>
      </c>
      <c r="D19" s="2">
        <v>11</v>
      </c>
    </row>
    <row r="20" spans="1:4" x14ac:dyDescent="0.3">
      <c r="A20" s="12" t="s">
        <v>10</v>
      </c>
      <c r="B20" s="2">
        <v>11638</v>
      </c>
      <c r="C20" s="2">
        <v>12</v>
      </c>
      <c r="D20" s="2">
        <v>9</v>
      </c>
    </row>
    <row r="21" spans="1:4" x14ac:dyDescent="0.3">
      <c r="A21" s="12" t="s">
        <v>38</v>
      </c>
      <c r="B21" s="2">
        <v>1999</v>
      </c>
      <c r="C21" s="2">
        <v>1</v>
      </c>
      <c r="D21" s="2">
        <v>1</v>
      </c>
    </row>
    <row r="22" spans="1:4" x14ac:dyDescent="0.3">
      <c r="A22" s="12" t="s">
        <v>25</v>
      </c>
      <c r="B22" s="2">
        <v>2297</v>
      </c>
      <c r="C22" s="2">
        <v>3</v>
      </c>
      <c r="D22" s="2">
        <v>1</v>
      </c>
    </row>
    <row r="23" spans="1:4" x14ac:dyDescent="0.3">
      <c r="A23" s="6" t="s">
        <v>579</v>
      </c>
      <c r="B23" s="2">
        <v>7434</v>
      </c>
      <c r="C23" s="2">
        <v>16</v>
      </c>
      <c r="D23" s="2">
        <v>13</v>
      </c>
    </row>
    <row r="24" spans="1:4" x14ac:dyDescent="0.3">
      <c r="A24" s="12" t="s">
        <v>10</v>
      </c>
      <c r="B24" s="2">
        <v>7086</v>
      </c>
      <c r="C24" s="2">
        <v>14</v>
      </c>
      <c r="D24" s="2">
        <v>11</v>
      </c>
    </row>
    <row r="25" spans="1:4" x14ac:dyDescent="0.3">
      <c r="A25" s="12" t="s">
        <v>38</v>
      </c>
      <c r="B25" s="2">
        <v>49</v>
      </c>
      <c r="C25" s="2">
        <v>1</v>
      </c>
      <c r="D25" s="2">
        <v>1</v>
      </c>
    </row>
    <row r="26" spans="1:4" x14ac:dyDescent="0.3">
      <c r="A26" s="12" t="s">
        <v>25</v>
      </c>
      <c r="B26" s="2">
        <v>299</v>
      </c>
      <c r="C26" s="2">
        <v>1</v>
      </c>
      <c r="D26" s="2">
        <v>1</v>
      </c>
    </row>
    <row r="27" spans="1:4" x14ac:dyDescent="0.3">
      <c r="A27" s="6" t="s">
        <v>622</v>
      </c>
      <c r="B27" s="2">
        <v>65898</v>
      </c>
      <c r="C27" s="2">
        <v>102</v>
      </c>
      <c r="D27" s="2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03436-A845-46C2-AF99-857B0B6AA6F0}">
  <dimension ref="A1:N548"/>
  <sheetViews>
    <sheetView topLeftCell="A523" zoomScale="91" workbookViewId="0">
      <selection activeCell="M3" sqref="M3"/>
    </sheetView>
  </sheetViews>
  <sheetFormatPr defaultRowHeight="14.4" x14ac:dyDescent="0.3"/>
  <cols>
    <col min="1" max="1" width="15.77734375" bestFit="1" customWidth="1"/>
    <col min="2" max="2" width="9.88671875" bestFit="1" customWidth="1"/>
    <col min="3" max="3" width="14.44140625" bestFit="1" customWidth="1"/>
    <col min="4" max="4" width="17.77734375" bestFit="1" customWidth="1"/>
    <col min="5" max="5" width="12.109375" customWidth="1"/>
    <col min="6" max="6" width="13.77734375" customWidth="1"/>
    <col min="7" max="7" width="18.33203125" bestFit="1" customWidth="1"/>
    <col min="8" max="8" width="16.6640625" style="4" bestFit="1" customWidth="1"/>
    <col min="9" max="9" width="13.5546875" bestFit="1" customWidth="1"/>
    <col min="10" max="10" width="19.109375" customWidth="1"/>
    <col min="11" max="11" width="10.6640625" bestFit="1" customWidth="1"/>
    <col min="12" max="12" width="12.21875" bestFit="1" customWidth="1"/>
    <col min="13" max="13" width="18.5546875" bestFit="1" customWidth="1"/>
    <col min="14" max="14" width="12.109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562</v>
      </c>
      <c r="E1" t="s">
        <v>617</v>
      </c>
      <c r="F1" t="s">
        <v>616</v>
      </c>
      <c r="G1" t="s">
        <v>3</v>
      </c>
      <c r="H1" s="4" t="s">
        <v>621</v>
      </c>
      <c r="I1" t="s">
        <v>4</v>
      </c>
      <c r="J1" t="s">
        <v>5</v>
      </c>
      <c r="K1" t="s">
        <v>6</v>
      </c>
      <c r="L1" t="s">
        <v>7</v>
      </c>
      <c r="M1" s="11" t="s">
        <v>625</v>
      </c>
      <c r="N1" t="s">
        <v>620</v>
      </c>
    </row>
    <row r="2" spans="1:14" x14ac:dyDescent="0.3">
      <c r="A2" s="2" t="s">
        <v>8</v>
      </c>
      <c r="B2">
        <v>350</v>
      </c>
      <c r="C2">
        <v>16</v>
      </c>
      <c r="D2" t="str">
        <f>IFERROR(VLOOKUP($C2,merchants!$A$2:$D$41,2,FALSE),"Merchant not found")</f>
        <v>Merchant_016</v>
      </c>
      <c r="E2" t="str">
        <f>IFERROR(VLOOKUP($C2, merchants!$A$2:$D$41, 4, FALSE), "Merchant not found")</f>
        <v>West</v>
      </c>
      <c r="F2" t="str">
        <f>IFERROR(VLOOKUP($C2, merchants!$A$2:$D$41, 3, FALSE), "Merchant not found")</f>
        <v>bill_payment</v>
      </c>
      <c r="G2" s="1">
        <v>46051.467361111114</v>
      </c>
      <c r="H2" s="4">
        <f t="shared" ref="H2:H65" si="0">INT(G2)</f>
        <v>46051</v>
      </c>
      <c r="I2">
        <v>2999</v>
      </c>
      <c r="J2" s="2" t="s">
        <v>9</v>
      </c>
      <c r="K2" s="2" t="s">
        <v>10</v>
      </c>
      <c r="L2">
        <v>85</v>
      </c>
      <c r="M2">
        <f>IF(COUNTIFS($D$2:$D2, $D2, $H$2:$H2, $H2)=1, 1, 0)</f>
        <v>1</v>
      </c>
      <c r="N2">
        <f>_xlfn.IFNA(HLOOKUP($J2, fee_reference!$B$1:$E$2, 2, FALSE), 0)</f>
        <v>1.4999999999999999E-2</v>
      </c>
    </row>
    <row r="3" spans="1:14" x14ac:dyDescent="0.3">
      <c r="A3" s="2" t="s">
        <v>11</v>
      </c>
      <c r="B3">
        <v>287</v>
      </c>
      <c r="C3">
        <v>27</v>
      </c>
      <c r="D3" t="str">
        <f>IFERROR(VLOOKUP($C3,merchants!$A$2:$D$41,2,FALSE),"Merchant not found")</f>
        <v>Merchant_027</v>
      </c>
      <c r="E3" t="str">
        <f>IFERROR(VLOOKUP($C3, merchants!$A$2:$D$41, 4, FALSE), "Merchant not found")</f>
        <v>North</v>
      </c>
      <c r="F3" t="str">
        <f>IFERROR(VLOOKUP($C3, merchants!$A$2:$D$41, 3, FALSE), "Merchant not found")</f>
        <v>ecommerce</v>
      </c>
      <c r="G3" s="1">
        <v>46026.492361111108</v>
      </c>
      <c r="H3" s="4">
        <f t="shared" si="0"/>
        <v>46026</v>
      </c>
      <c r="I3">
        <v>49</v>
      </c>
      <c r="J3" s="2" t="s">
        <v>12</v>
      </c>
      <c r="K3" s="2" t="s">
        <v>10</v>
      </c>
      <c r="L3">
        <v>79</v>
      </c>
      <c r="M3">
        <f>IF(COUNTIFS($D$2:$D3, $D3, $H$2:$H3, $H3)=1, 1, 0)</f>
        <v>1</v>
      </c>
      <c r="N3">
        <f>_xlfn.IFNA(HLOOKUP($J3, fee_reference!$B$1:$E$2, 2, FALSE), 0)</f>
        <v>0</v>
      </c>
    </row>
    <row r="4" spans="1:14" x14ac:dyDescent="0.3">
      <c r="A4" s="2" t="s">
        <v>13</v>
      </c>
      <c r="B4">
        <v>122</v>
      </c>
      <c r="C4">
        <v>11</v>
      </c>
      <c r="D4" t="str">
        <f>IFERROR(VLOOKUP($C4,merchants!$A$2:$D$41,2,FALSE),"Merchant not found")</f>
        <v>Merchant_011</v>
      </c>
      <c r="E4" t="str">
        <f>IFERROR(VLOOKUP($C4, merchants!$A$2:$D$41, 4, FALSE), "Merchant not found")</f>
        <v>North</v>
      </c>
      <c r="F4" t="str">
        <f>IFERROR(VLOOKUP($C4, merchants!$A$2:$D$41, 3, FALSE), "Merchant not found")</f>
        <v>ecommerce</v>
      </c>
      <c r="G4" s="1">
        <v>46046.207638888889</v>
      </c>
      <c r="H4" s="4">
        <f t="shared" si="0"/>
        <v>46046</v>
      </c>
      <c r="I4">
        <v>1499</v>
      </c>
      <c r="J4" s="2" t="s">
        <v>9</v>
      </c>
      <c r="K4" s="2" t="s">
        <v>10</v>
      </c>
      <c r="L4">
        <v>22</v>
      </c>
      <c r="M4">
        <f>IF(COUNTIFS($D$2:$D4, $D4, $H$2:$H4, $H4)=1, 1, 0)</f>
        <v>1</v>
      </c>
      <c r="N4">
        <f>_xlfn.IFNA(HLOOKUP($J4, fee_reference!$B$1:$E$2, 2, FALSE), 0)</f>
        <v>1.4999999999999999E-2</v>
      </c>
    </row>
    <row r="5" spans="1:14" x14ac:dyDescent="0.3">
      <c r="A5" s="2" t="s">
        <v>14</v>
      </c>
      <c r="B5">
        <v>92</v>
      </c>
      <c r="C5">
        <v>22</v>
      </c>
      <c r="D5" t="str">
        <f>IFERROR(VLOOKUP($C5,merchants!$A$2:$D$41,2,FALSE),"Merchant not found")</f>
        <v>Merchant_022</v>
      </c>
      <c r="E5" t="str">
        <f>IFERROR(VLOOKUP($C5, merchants!$A$2:$D$41, 4, FALSE), "Merchant not found")</f>
        <v>South</v>
      </c>
      <c r="F5" t="str">
        <f>IFERROR(VLOOKUP($C5, merchants!$A$2:$D$41, 3, FALSE), "Merchant not found")</f>
        <v>travel</v>
      </c>
      <c r="G5" s="1">
        <v>46051.542361111111</v>
      </c>
      <c r="H5" s="4">
        <f t="shared" si="0"/>
        <v>46051</v>
      </c>
      <c r="I5">
        <v>49</v>
      </c>
      <c r="J5" s="2" t="s">
        <v>15</v>
      </c>
      <c r="K5" s="2" t="s">
        <v>10</v>
      </c>
      <c r="L5">
        <v>100</v>
      </c>
      <c r="M5">
        <f>IF(COUNTIFS($D$2:$D5, $D5, $H$2:$H5, $H5)=1, 1, 0)</f>
        <v>1</v>
      </c>
      <c r="N5">
        <f>_xlfn.IFNA(HLOOKUP($J5, fee_reference!$B$1:$E$2, 2, FALSE), 0)</f>
        <v>0.01</v>
      </c>
    </row>
    <row r="6" spans="1:14" x14ac:dyDescent="0.3">
      <c r="A6" s="2" t="s">
        <v>16</v>
      </c>
      <c r="B6">
        <v>343</v>
      </c>
      <c r="C6">
        <v>16</v>
      </c>
      <c r="D6" t="str">
        <f>IFERROR(VLOOKUP($C6,merchants!$A$2:$D$41,2,FALSE),"Merchant not found")</f>
        <v>Merchant_016</v>
      </c>
      <c r="E6" t="str">
        <f>IFERROR(VLOOKUP($C6, merchants!$A$2:$D$41, 4, FALSE), "Merchant not found")</f>
        <v>West</v>
      </c>
      <c r="F6" t="str">
        <f>IFERROR(VLOOKUP($C6, merchants!$A$2:$D$41, 3, FALSE), "Merchant not found")</f>
        <v>bill_payment</v>
      </c>
      <c r="G6" s="1">
        <v>46052.57708333333</v>
      </c>
      <c r="H6" s="4">
        <f t="shared" si="0"/>
        <v>46052</v>
      </c>
      <c r="I6">
        <v>99</v>
      </c>
      <c r="J6" s="2" t="s">
        <v>12</v>
      </c>
      <c r="K6" s="2" t="s">
        <v>10</v>
      </c>
      <c r="L6">
        <v>34</v>
      </c>
      <c r="M6">
        <f>IF(COUNTIFS($D$2:$D6, $D6, $H$2:$H6, $H6)=1, 1, 0)</f>
        <v>1</v>
      </c>
      <c r="N6">
        <f>_xlfn.IFNA(HLOOKUP($J6, fee_reference!$B$1:$E$2, 2, FALSE), 0)</f>
        <v>0</v>
      </c>
    </row>
    <row r="7" spans="1:14" x14ac:dyDescent="0.3">
      <c r="A7" s="2" t="s">
        <v>17</v>
      </c>
      <c r="B7">
        <v>196</v>
      </c>
      <c r="C7">
        <v>3</v>
      </c>
      <c r="D7" t="str">
        <f>IFERROR(VLOOKUP($C7,merchants!$A$2:$D$41,2,FALSE),"Merchant not found")</f>
        <v>Merchant_003</v>
      </c>
      <c r="E7" t="str">
        <f>IFERROR(VLOOKUP($C7, merchants!$A$2:$D$41, 4, FALSE), "Merchant not found")</f>
        <v>East</v>
      </c>
      <c r="F7" t="str">
        <f>IFERROR(VLOOKUP($C7, merchants!$A$2:$D$41, 3, FALSE), "Merchant not found")</f>
        <v>grocery</v>
      </c>
      <c r="G7" s="1">
        <v>46028.92083333333</v>
      </c>
      <c r="H7" s="4">
        <f t="shared" si="0"/>
        <v>46028</v>
      </c>
      <c r="I7">
        <v>99</v>
      </c>
      <c r="J7" s="2" t="s">
        <v>12</v>
      </c>
      <c r="K7" s="2" t="s">
        <v>10</v>
      </c>
      <c r="L7">
        <v>60</v>
      </c>
      <c r="M7">
        <f>IF(COUNTIFS($D$2:$D7, $D7, $H$2:$H7, $H7)=1, 1, 0)</f>
        <v>1</v>
      </c>
      <c r="N7">
        <f>_xlfn.IFNA(HLOOKUP($J7, fee_reference!$B$1:$E$2, 2, FALSE), 0)</f>
        <v>0</v>
      </c>
    </row>
    <row r="8" spans="1:14" x14ac:dyDescent="0.3">
      <c r="A8" s="2" t="s">
        <v>18</v>
      </c>
      <c r="B8">
        <v>236</v>
      </c>
      <c r="C8">
        <v>23</v>
      </c>
      <c r="D8" t="str">
        <f>IFERROR(VLOOKUP($C8,merchants!$A$2:$D$41,2,FALSE),"Merchant not found")</f>
        <v>Merchant_023</v>
      </c>
      <c r="E8" t="str">
        <f>IFERROR(VLOOKUP($C8, merchants!$A$2:$D$41, 4, FALSE), "Merchant not found")</f>
        <v>North</v>
      </c>
      <c r="F8" t="str">
        <f>IFERROR(VLOOKUP($C8, merchants!$A$2:$D$41, 3, FALSE), "Merchant not found")</f>
        <v>travel</v>
      </c>
      <c r="G8" s="1">
        <v>46030.286111111112</v>
      </c>
      <c r="H8" s="4">
        <f t="shared" si="0"/>
        <v>46030</v>
      </c>
      <c r="I8">
        <v>99</v>
      </c>
      <c r="J8" s="2" t="s">
        <v>9</v>
      </c>
      <c r="K8" s="2" t="s">
        <v>10</v>
      </c>
      <c r="L8">
        <v>39</v>
      </c>
      <c r="M8">
        <f>IF(COUNTIFS($D$2:$D8, $D8, $H$2:$H8, $H8)=1, 1, 0)</f>
        <v>1</v>
      </c>
      <c r="N8">
        <f>_xlfn.IFNA(HLOOKUP($J8, fee_reference!$B$1:$E$2, 2, FALSE), 0)</f>
        <v>1.4999999999999999E-2</v>
      </c>
    </row>
    <row r="9" spans="1:14" x14ac:dyDescent="0.3">
      <c r="A9" s="2" t="s">
        <v>19</v>
      </c>
      <c r="B9">
        <v>13</v>
      </c>
      <c r="C9">
        <v>13</v>
      </c>
      <c r="D9" t="str">
        <f>IFERROR(VLOOKUP($C9,merchants!$A$2:$D$41,2,FALSE),"Merchant not found")</f>
        <v>Merchant_013</v>
      </c>
      <c r="E9" t="str">
        <f>IFERROR(VLOOKUP($C9, merchants!$A$2:$D$41, 4, FALSE), "Merchant not found")</f>
        <v>East</v>
      </c>
      <c r="F9" t="str">
        <f>IFERROR(VLOOKUP($C9, merchants!$A$2:$D$41, 3, FALSE), "Merchant not found")</f>
        <v>travel</v>
      </c>
      <c r="G9" s="1">
        <v>46049.301388888889</v>
      </c>
      <c r="H9" s="4">
        <f t="shared" si="0"/>
        <v>46049</v>
      </c>
      <c r="I9">
        <v>99</v>
      </c>
      <c r="J9" s="2" t="s">
        <v>12</v>
      </c>
      <c r="K9" s="2" t="s">
        <v>10</v>
      </c>
      <c r="L9">
        <v>51</v>
      </c>
      <c r="M9">
        <f>IF(COUNTIFS($D$2:$D9, $D9, $H$2:$H9, $H9)=1, 1, 0)</f>
        <v>1</v>
      </c>
      <c r="N9">
        <f>_xlfn.IFNA(HLOOKUP($J9, fee_reference!$B$1:$E$2, 2, FALSE), 0)</f>
        <v>0</v>
      </c>
    </row>
    <row r="10" spans="1:14" x14ac:dyDescent="0.3">
      <c r="A10" s="2" t="s">
        <v>20</v>
      </c>
      <c r="B10">
        <v>36</v>
      </c>
      <c r="C10">
        <v>18</v>
      </c>
      <c r="D10" t="str">
        <f>IFERROR(VLOOKUP($C10,merchants!$A$2:$D$41,2,FALSE),"Merchant not found")</f>
        <v>Merchant_018</v>
      </c>
      <c r="E10" t="str">
        <f>IFERROR(VLOOKUP($C10, merchants!$A$2:$D$41, 4, FALSE), "Merchant not found")</f>
        <v>West</v>
      </c>
      <c r="F10" t="str">
        <f>IFERROR(VLOOKUP($C10, merchants!$A$2:$D$41, 3, FALSE), "Merchant not found")</f>
        <v>grocery</v>
      </c>
      <c r="G10" s="1">
        <v>46033.371527777781</v>
      </c>
      <c r="H10" s="4">
        <f t="shared" si="0"/>
        <v>46033</v>
      </c>
      <c r="I10">
        <v>799</v>
      </c>
      <c r="J10" s="2" t="s">
        <v>12</v>
      </c>
      <c r="K10" s="2" t="s">
        <v>10</v>
      </c>
      <c r="L10">
        <v>44</v>
      </c>
      <c r="M10">
        <f>IF(COUNTIFS($D$2:$D10, $D10, $H$2:$H10, $H10)=1, 1, 0)</f>
        <v>1</v>
      </c>
      <c r="N10">
        <f>_xlfn.IFNA(HLOOKUP($J10, fee_reference!$B$1:$E$2, 2, FALSE), 0)</f>
        <v>0</v>
      </c>
    </row>
    <row r="11" spans="1:14" x14ac:dyDescent="0.3">
      <c r="A11" s="2" t="s">
        <v>21</v>
      </c>
      <c r="B11">
        <v>348</v>
      </c>
      <c r="C11">
        <v>35</v>
      </c>
      <c r="D11" t="str">
        <f>IFERROR(VLOOKUP($C11,merchants!$A$2:$D$41,2,FALSE),"Merchant not found")</f>
        <v>Merchant_035</v>
      </c>
      <c r="E11" t="str">
        <f>IFERROR(VLOOKUP($C11, merchants!$A$2:$D$41, 4, FALSE), "Merchant not found")</f>
        <v>East</v>
      </c>
      <c r="F11" t="str">
        <f>IFERROR(VLOOKUP($C11, merchants!$A$2:$D$41, 3, FALSE), "Merchant not found")</f>
        <v>recharge</v>
      </c>
      <c r="G11" s="1">
        <v>46043.684027777781</v>
      </c>
      <c r="H11" s="4">
        <f t="shared" si="0"/>
        <v>46043</v>
      </c>
      <c r="I11">
        <v>299</v>
      </c>
      <c r="J11" s="2" t="s">
        <v>12</v>
      </c>
      <c r="K11" s="2" t="s">
        <v>10</v>
      </c>
      <c r="L11">
        <v>42</v>
      </c>
      <c r="M11">
        <f>IF(COUNTIFS($D$2:$D11, $D11, $H$2:$H11, $H11)=1, 1, 0)</f>
        <v>1</v>
      </c>
      <c r="N11">
        <f>_xlfn.IFNA(HLOOKUP($J11, fee_reference!$B$1:$E$2, 2, FALSE), 0)</f>
        <v>0</v>
      </c>
    </row>
    <row r="12" spans="1:14" x14ac:dyDescent="0.3">
      <c r="A12" s="2" t="s">
        <v>22</v>
      </c>
      <c r="B12">
        <v>134</v>
      </c>
      <c r="C12">
        <v>12</v>
      </c>
      <c r="D12" t="str">
        <f>IFERROR(VLOOKUP($C12,merchants!$A$2:$D$41,2,FALSE),"Merchant not found")</f>
        <v>Merchant_012</v>
      </c>
      <c r="E12" t="str">
        <f>IFERROR(VLOOKUP($C12, merchants!$A$2:$D$41, 4, FALSE), "Merchant not found")</f>
        <v>East</v>
      </c>
      <c r="F12" t="str">
        <f>IFERROR(VLOOKUP($C12, merchants!$A$2:$D$41, 3, FALSE), "Merchant not found")</f>
        <v>ecommerce</v>
      </c>
      <c r="G12" s="1">
        <v>46023.163888888892</v>
      </c>
      <c r="H12" s="4">
        <f t="shared" si="0"/>
        <v>46023</v>
      </c>
      <c r="I12">
        <v>49</v>
      </c>
      <c r="J12" s="2" t="s">
        <v>12</v>
      </c>
      <c r="K12" s="2" t="s">
        <v>10</v>
      </c>
      <c r="L12">
        <v>74</v>
      </c>
      <c r="M12">
        <f>IF(COUNTIFS($D$2:$D12, $D12, $H$2:$H12, $H12)=1, 1, 0)</f>
        <v>1</v>
      </c>
      <c r="N12">
        <f>_xlfn.IFNA(HLOOKUP($J12, fee_reference!$B$1:$E$2, 2, FALSE), 0)</f>
        <v>0</v>
      </c>
    </row>
    <row r="13" spans="1:14" x14ac:dyDescent="0.3">
      <c r="A13" s="2" t="s">
        <v>23</v>
      </c>
      <c r="B13">
        <v>306</v>
      </c>
      <c r="C13">
        <v>28</v>
      </c>
      <c r="D13" t="str">
        <f>IFERROR(VLOOKUP($C13,merchants!$A$2:$D$41,2,FALSE),"Merchant not found")</f>
        <v>Merchant_028</v>
      </c>
      <c r="E13" t="str">
        <f>IFERROR(VLOOKUP($C13, merchants!$A$2:$D$41, 4, FALSE), "Merchant not found")</f>
        <v>South</v>
      </c>
      <c r="F13" t="str">
        <f>IFERROR(VLOOKUP($C13, merchants!$A$2:$D$41, 3, FALSE), "Merchant not found")</f>
        <v>ecommerce</v>
      </c>
      <c r="G13" s="1">
        <v>46031.04583333333</v>
      </c>
      <c r="H13" s="4">
        <f t="shared" si="0"/>
        <v>46031</v>
      </c>
      <c r="I13">
        <v>2999</v>
      </c>
      <c r="J13" s="2" t="s">
        <v>24</v>
      </c>
      <c r="K13" s="2" t="s">
        <v>25</v>
      </c>
      <c r="L13">
        <v>44</v>
      </c>
      <c r="M13">
        <f>IF(COUNTIFS($D$2:$D13, $D13, $H$2:$H13, $H13)=1, 1, 0)</f>
        <v>1</v>
      </c>
      <c r="N13">
        <f>_xlfn.IFNA(HLOOKUP($J13, fee_reference!$B$1:$E$2, 2, FALSE), 0)</f>
        <v>2.5000000000000001E-2</v>
      </c>
    </row>
    <row r="14" spans="1:14" x14ac:dyDescent="0.3">
      <c r="A14" s="2" t="s">
        <v>26</v>
      </c>
      <c r="B14">
        <v>311</v>
      </c>
      <c r="C14">
        <v>33</v>
      </c>
      <c r="D14" t="str">
        <f>IFERROR(VLOOKUP($C14,merchants!$A$2:$D$41,2,FALSE),"Merchant not found")</f>
        <v>Merchant_033</v>
      </c>
      <c r="E14" t="str">
        <f>IFERROR(VLOOKUP($C14, merchants!$A$2:$D$41, 4, FALSE), "Merchant not found")</f>
        <v>East</v>
      </c>
      <c r="F14" t="str">
        <f>IFERROR(VLOOKUP($C14, merchants!$A$2:$D$41, 3, FALSE), "Merchant not found")</f>
        <v>bill_payment</v>
      </c>
      <c r="G14" s="1">
        <v>46046.435416666667</v>
      </c>
      <c r="H14" s="4">
        <f t="shared" si="0"/>
        <v>46046</v>
      </c>
      <c r="I14">
        <v>49</v>
      </c>
      <c r="J14" s="2" t="s">
        <v>9</v>
      </c>
      <c r="K14" s="2" t="s">
        <v>10</v>
      </c>
      <c r="L14">
        <v>14</v>
      </c>
      <c r="M14">
        <f>IF(COUNTIFS($D$2:$D14, $D14, $H$2:$H14, $H14)=1, 1, 0)</f>
        <v>1</v>
      </c>
      <c r="N14">
        <f>_xlfn.IFNA(HLOOKUP($J14, fee_reference!$B$1:$E$2, 2, FALSE), 0)</f>
        <v>1.4999999999999999E-2</v>
      </c>
    </row>
    <row r="15" spans="1:14" x14ac:dyDescent="0.3">
      <c r="A15" s="2" t="s">
        <v>27</v>
      </c>
      <c r="B15">
        <v>131</v>
      </c>
      <c r="C15">
        <v>3</v>
      </c>
      <c r="D15" t="str">
        <f>IFERROR(VLOOKUP($C15,merchants!$A$2:$D$41,2,FALSE),"Merchant not found")</f>
        <v>Merchant_003</v>
      </c>
      <c r="E15" t="str">
        <f>IFERROR(VLOOKUP($C15, merchants!$A$2:$D$41, 4, FALSE), "Merchant not found")</f>
        <v>East</v>
      </c>
      <c r="F15" t="str">
        <f>IFERROR(VLOOKUP($C15, merchants!$A$2:$D$41, 3, FALSE), "Merchant not found")</f>
        <v>grocery</v>
      </c>
      <c r="G15" s="1">
        <v>46035.758333333331</v>
      </c>
      <c r="H15" s="4">
        <f t="shared" si="0"/>
        <v>46035</v>
      </c>
      <c r="I15">
        <v>49</v>
      </c>
      <c r="J15" s="2" t="s">
        <v>12</v>
      </c>
      <c r="K15" s="2" t="s">
        <v>10</v>
      </c>
      <c r="L15">
        <v>90</v>
      </c>
      <c r="M15">
        <f>IF(COUNTIFS($D$2:$D15, $D15, $H$2:$H15, $H15)=1, 1, 0)</f>
        <v>1</v>
      </c>
      <c r="N15">
        <f>_xlfn.IFNA(HLOOKUP($J15, fee_reference!$B$1:$E$2, 2, FALSE), 0)</f>
        <v>0</v>
      </c>
    </row>
    <row r="16" spans="1:14" x14ac:dyDescent="0.3">
      <c r="A16" s="2" t="s">
        <v>28</v>
      </c>
      <c r="B16">
        <v>276</v>
      </c>
      <c r="C16">
        <v>13</v>
      </c>
      <c r="D16" t="str">
        <f>IFERROR(VLOOKUP($C16,merchants!$A$2:$D$41,2,FALSE),"Merchant not found")</f>
        <v>Merchant_013</v>
      </c>
      <c r="E16" t="str">
        <f>IFERROR(VLOOKUP($C16, merchants!$A$2:$D$41, 4, FALSE), "Merchant not found")</f>
        <v>East</v>
      </c>
      <c r="F16" t="str">
        <f>IFERROR(VLOOKUP($C16, merchants!$A$2:$D$41, 3, FALSE), "Merchant not found")</f>
        <v>travel</v>
      </c>
      <c r="G16" s="1">
        <v>46036.022916666669</v>
      </c>
      <c r="H16" s="4">
        <f t="shared" si="0"/>
        <v>46036</v>
      </c>
      <c r="I16">
        <v>1499</v>
      </c>
      <c r="J16" s="2" t="s">
        <v>12</v>
      </c>
      <c r="K16" s="2" t="s">
        <v>10</v>
      </c>
      <c r="L16">
        <v>46</v>
      </c>
      <c r="M16">
        <f>IF(COUNTIFS($D$2:$D16, $D16, $H$2:$H16, $H16)=1, 1, 0)</f>
        <v>1</v>
      </c>
      <c r="N16">
        <f>_xlfn.IFNA(HLOOKUP($J16, fee_reference!$B$1:$E$2, 2, FALSE), 0)</f>
        <v>0</v>
      </c>
    </row>
    <row r="17" spans="1:14" x14ac:dyDescent="0.3">
      <c r="A17" s="2" t="s">
        <v>29</v>
      </c>
      <c r="B17">
        <v>170</v>
      </c>
      <c r="C17">
        <v>40</v>
      </c>
      <c r="D17" t="str">
        <f>IFERROR(VLOOKUP($C17,merchants!$A$2:$D$41,2,FALSE),"Merchant not found")</f>
        <v>Merchant_040</v>
      </c>
      <c r="E17" t="str">
        <f>IFERROR(VLOOKUP($C17, merchants!$A$2:$D$41, 4, FALSE), "Merchant not found")</f>
        <v>South</v>
      </c>
      <c r="F17" t="str">
        <f>IFERROR(VLOOKUP($C17, merchants!$A$2:$D$41, 3, FALSE), "Merchant not found")</f>
        <v>entertainment</v>
      </c>
      <c r="G17" s="1">
        <v>46036.112500000003</v>
      </c>
      <c r="H17" s="4">
        <f t="shared" si="0"/>
        <v>46036</v>
      </c>
      <c r="I17">
        <v>99</v>
      </c>
      <c r="J17" s="2" t="s">
        <v>12</v>
      </c>
      <c r="K17" s="2" t="s">
        <v>10</v>
      </c>
      <c r="L17">
        <v>40</v>
      </c>
      <c r="M17">
        <f>IF(COUNTIFS($D$2:$D17, $D17, $H$2:$H17, $H17)=1, 1, 0)</f>
        <v>1</v>
      </c>
      <c r="N17">
        <f>_xlfn.IFNA(HLOOKUP($J17, fee_reference!$B$1:$E$2, 2, FALSE), 0)</f>
        <v>0</v>
      </c>
    </row>
    <row r="18" spans="1:14" x14ac:dyDescent="0.3">
      <c r="A18" s="2" t="s">
        <v>30</v>
      </c>
      <c r="B18">
        <v>154</v>
      </c>
      <c r="C18">
        <v>33</v>
      </c>
      <c r="D18" t="str">
        <f>IFERROR(VLOOKUP($C18,merchants!$A$2:$D$41,2,FALSE),"Merchant not found")</f>
        <v>Merchant_033</v>
      </c>
      <c r="E18" t="str">
        <f>IFERROR(VLOOKUP($C18, merchants!$A$2:$D$41, 4, FALSE), "Merchant not found")</f>
        <v>East</v>
      </c>
      <c r="F18" t="str">
        <f>IFERROR(VLOOKUP($C18, merchants!$A$2:$D$41, 3, FALSE), "Merchant not found")</f>
        <v>bill_payment</v>
      </c>
      <c r="G18" s="1">
        <v>46044.156944444447</v>
      </c>
      <c r="H18" s="4">
        <f t="shared" si="0"/>
        <v>46044</v>
      </c>
      <c r="I18">
        <v>99</v>
      </c>
      <c r="J18" s="2" t="s">
        <v>15</v>
      </c>
      <c r="K18" s="2" t="s">
        <v>10</v>
      </c>
      <c r="L18">
        <v>39</v>
      </c>
      <c r="M18">
        <f>IF(COUNTIFS($D$2:$D18, $D18, $H$2:$H18, $H18)=1, 1, 0)</f>
        <v>1</v>
      </c>
      <c r="N18">
        <f>_xlfn.IFNA(HLOOKUP($J18, fee_reference!$B$1:$E$2, 2, FALSE), 0)</f>
        <v>0.01</v>
      </c>
    </row>
    <row r="19" spans="1:14" x14ac:dyDescent="0.3">
      <c r="A19" s="2" t="s">
        <v>31</v>
      </c>
      <c r="B19">
        <v>207</v>
      </c>
      <c r="C19">
        <v>19</v>
      </c>
      <c r="D19" t="str">
        <f>IFERROR(VLOOKUP($C19,merchants!$A$2:$D$41,2,FALSE),"Merchant not found")</f>
        <v>Merchant_019</v>
      </c>
      <c r="E19" t="str">
        <f>IFERROR(VLOOKUP($C19, merchants!$A$2:$D$41, 4, FALSE), "Merchant not found")</f>
        <v>North</v>
      </c>
      <c r="F19" t="str">
        <f>IFERROR(VLOOKUP($C19, merchants!$A$2:$D$41, 3, FALSE), "Merchant not found")</f>
        <v>grocery</v>
      </c>
      <c r="G19" s="1">
        <v>46044.555555555555</v>
      </c>
      <c r="H19" s="4">
        <f t="shared" si="0"/>
        <v>46044</v>
      </c>
      <c r="I19">
        <v>2999</v>
      </c>
      <c r="J19" s="2" t="s">
        <v>24</v>
      </c>
      <c r="K19" s="2" t="s">
        <v>10</v>
      </c>
      <c r="L19">
        <v>70</v>
      </c>
      <c r="M19">
        <f>IF(COUNTIFS($D$2:$D19, $D19, $H$2:$H19, $H19)=1, 1, 0)</f>
        <v>1</v>
      </c>
      <c r="N19">
        <f>_xlfn.IFNA(HLOOKUP($J19, fee_reference!$B$1:$E$2, 2, FALSE), 0)</f>
        <v>2.5000000000000001E-2</v>
      </c>
    </row>
    <row r="20" spans="1:14" x14ac:dyDescent="0.3">
      <c r="A20" s="2" t="s">
        <v>32</v>
      </c>
      <c r="B20">
        <v>341</v>
      </c>
      <c r="C20">
        <v>25</v>
      </c>
      <c r="D20" t="str">
        <f>IFERROR(VLOOKUP($C20,merchants!$A$2:$D$41,2,FALSE),"Merchant not found")</f>
        <v>Merchant_025</v>
      </c>
      <c r="E20" t="str">
        <f>IFERROR(VLOOKUP($C20, merchants!$A$2:$D$41, 4, FALSE), "Merchant not found")</f>
        <v>South</v>
      </c>
      <c r="F20" t="str">
        <f>IFERROR(VLOOKUP($C20, merchants!$A$2:$D$41, 3, FALSE), "Merchant not found")</f>
        <v>travel</v>
      </c>
      <c r="G20" s="1">
        <v>46027.268055555556</v>
      </c>
      <c r="H20" s="4">
        <f t="shared" si="0"/>
        <v>46027</v>
      </c>
      <c r="I20">
        <v>2999</v>
      </c>
      <c r="J20" s="2" t="s">
        <v>12</v>
      </c>
      <c r="K20" s="2" t="s">
        <v>10</v>
      </c>
      <c r="L20">
        <v>86</v>
      </c>
      <c r="M20">
        <f>IF(COUNTIFS($D$2:$D20, $D20, $H$2:$H20, $H20)=1, 1, 0)</f>
        <v>1</v>
      </c>
      <c r="N20">
        <f>_xlfn.IFNA(HLOOKUP($J20, fee_reference!$B$1:$E$2, 2, FALSE), 0)</f>
        <v>0</v>
      </c>
    </row>
    <row r="21" spans="1:14" x14ac:dyDescent="0.3">
      <c r="A21" s="2" t="s">
        <v>33</v>
      </c>
      <c r="B21">
        <v>292</v>
      </c>
      <c r="C21">
        <v>20</v>
      </c>
      <c r="D21" t="str">
        <f>IFERROR(VLOOKUP($C21,merchants!$A$2:$D$41,2,FALSE),"Merchant not found")</f>
        <v>Merchant_020</v>
      </c>
      <c r="E21" t="str">
        <f>IFERROR(VLOOKUP($C21, merchants!$A$2:$D$41, 4, FALSE), "Merchant not found")</f>
        <v>East</v>
      </c>
      <c r="F21" t="str">
        <f>IFERROR(VLOOKUP($C21, merchants!$A$2:$D$41, 3, FALSE), "Merchant not found")</f>
        <v>food_delivery</v>
      </c>
      <c r="G21" s="1">
        <v>46046.23541666667</v>
      </c>
      <c r="H21" s="4">
        <f t="shared" si="0"/>
        <v>46046</v>
      </c>
      <c r="I21">
        <v>49</v>
      </c>
      <c r="J21" s="2" t="s">
        <v>12</v>
      </c>
      <c r="K21" s="2" t="s">
        <v>10</v>
      </c>
      <c r="L21">
        <v>51</v>
      </c>
      <c r="M21">
        <f>IF(COUNTIFS($D$2:$D21, $D21, $H$2:$H21, $H21)=1, 1, 0)</f>
        <v>1</v>
      </c>
      <c r="N21">
        <f>_xlfn.IFNA(HLOOKUP($J21, fee_reference!$B$1:$E$2, 2, FALSE), 0)</f>
        <v>0</v>
      </c>
    </row>
    <row r="22" spans="1:14" x14ac:dyDescent="0.3">
      <c r="A22" s="2" t="s">
        <v>34</v>
      </c>
      <c r="B22">
        <v>147</v>
      </c>
      <c r="C22">
        <v>14</v>
      </c>
      <c r="D22" t="str">
        <f>IFERROR(VLOOKUP($C22,merchants!$A$2:$D$41,2,FALSE),"Merchant not found")</f>
        <v>Merchant_014</v>
      </c>
      <c r="E22" t="str">
        <f>IFERROR(VLOOKUP($C22, merchants!$A$2:$D$41, 4, FALSE), "Merchant not found")</f>
        <v>East</v>
      </c>
      <c r="F22" t="str">
        <f>IFERROR(VLOOKUP($C22, merchants!$A$2:$D$41, 3, FALSE), "Merchant not found")</f>
        <v>grocery</v>
      </c>
      <c r="G22" s="1">
        <v>46040.013194444444</v>
      </c>
      <c r="H22" s="4">
        <f t="shared" si="0"/>
        <v>46040</v>
      </c>
      <c r="I22">
        <v>99</v>
      </c>
      <c r="J22" s="2" t="s">
        <v>24</v>
      </c>
      <c r="K22" s="2" t="s">
        <v>10</v>
      </c>
      <c r="L22">
        <v>55</v>
      </c>
      <c r="M22">
        <f>IF(COUNTIFS($D$2:$D22, $D22, $H$2:$H22, $H22)=1, 1, 0)</f>
        <v>1</v>
      </c>
      <c r="N22">
        <f>_xlfn.IFNA(HLOOKUP($J22, fee_reference!$B$1:$E$2, 2, FALSE), 0)</f>
        <v>2.5000000000000001E-2</v>
      </c>
    </row>
    <row r="23" spans="1:14" x14ac:dyDescent="0.3">
      <c r="A23" s="2" t="s">
        <v>35</v>
      </c>
      <c r="B23">
        <v>336</v>
      </c>
      <c r="C23">
        <v>21</v>
      </c>
      <c r="D23" t="str">
        <f>IFERROR(VLOOKUP($C23,merchants!$A$2:$D$41,2,FALSE),"Merchant not found")</f>
        <v>Merchant_021</v>
      </c>
      <c r="E23" t="str">
        <f>IFERROR(VLOOKUP($C23, merchants!$A$2:$D$41, 4, FALSE), "Merchant not found")</f>
        <v>East</v>
      </c>
      <c r="F23" t="str">
        <f>IFERROR(VLOOKUP($C23, merchants!$A$2:$D$41, 3, FALSE), "Merchant not found")</f>
        <v>food_delivery</v>
      </c>
      <c r="G23" s="1">
        <v>46048.776388888888</v>
      </c>
      <c r="H23" s="4">
        <f t="shared" si="0"/>
        <v>46048</v>
      </c>
      <c r="I23">
        <v>99</v>
      </c>
      <c r="J23" s="2" t="s">
        <v>12</v>
      </c>
      <c r="K23" s="2" t="s">
        <v>10</v>
      </c>
      <c r="L23">
        <v>59</v>
      </c>
      <c r="M23">
        <f>IF(COUNTIFS($D$2:$D23, $D23, $H$2:$H23, $H23)=1, 1, 0)</f>
        <v>1</v>
      </c>
      <c r="N23">
        <f>_xlfn.IFNA(HLOOKUP($J23, fee_reference!$B$1:$E$2, 2, FALSE), 0)</f>
        <v>0</v>
      </c>
    </row>
    <row r="24" spans="1:14" x14ac:dyDescent="0.3">
      <c r="A24" s="2" t="s">
        <v>36</v>
      </c>
      <c r="B24">
        <v>110</v>
      </c>
      <c r="C24">
        <v>33</v>
      </c>
      <c r="D24" t="str">
        <f>IFERROR(VLOOKUP($C24,merchants!$A$2:$D$41,2,FALSE),"Merchant not found")</f>
        <v>Merchant_033</v>
      </c>
      <c r="E24" t="str">
        <f>IFERROR(VLOOKUP($C24, merchants!$A$2:$D$41, 4, FALSE), "Merchant not found")</f>
        <v>East</v>
      </c>
      <c r="F24" t="str">
        <f>IFERROR(VLOOKUP($C24, merchants!$A$2:$D$41, 3, FALSE), "Merchant not found")</f>
        <v>bill_payment</v>
      </c>
      <c r="G24" s="1">
        <v>46037.613194444442</v>
      </c>
      <c r="H24" s="4">
        <f t="shared" si="0"/>
        <v>46037</v>
      </c>
      <c r="I24">
        <v>799</v>
      </c>
      <c r="J24" s="2" t="s">
        <v>12</v>
      </c>
      <c r="K24" s="2" t="s">
        <v>10</v>
      </c>
      <c r="L24">
        <v>60</v>
      </c>
      <c r="M24">
        <f>IF(COUNTIFS($D$2:$D24, $D24, $H$2:$H24, $H24)=1, 1, 0)</f>
        <v>1</v>
      </c>
      <c r="N24">
        <f>_xlfn.IFNA(HLOOKUP($J24, fee_reference!$B$1:$E$2, 2, FALSE), 0)</f>
        <v>0</v>
      </c>
    </row>
    <row r="25" spans="1:14" x14ac:dyDescent="0.3">
      <c r="A25" s="2" t="s">
        <v>37</v>
      </c>
      <c r="B25">
        <v>338</v>
      </c>
      <c r="C25">
        <v>6</v>
      </c>
      <c r="D25" t="str">
        <f>IFERROR(VLOOKUP($C25,merchants!$A$2:$D$41,2,FALSE),"Merchant not found")</f>
        <v>Merchant_006</v>
      </c>
      <c r="E25" t="str">
        <f>IFERROR(VLOOKUP($C25, merchants!$A$2:$D$41, 4, FALSE), "Merchant not found")</f>
        <v>South</v>
      </c>
      <c r="F25" t="str">
        <f>IFERROR(VLOOKUP($C25, merchants!$A$2:$D$41, 3, FALSE), "Merchant not found")</f>
        <v>food_delivery</v>
      </c>
      <c r="G25" s="1">
        <v>46048.965277777781</v>
      </c>
      <c r="H25" s="4">
        <f t="shared" si="0"/>
        <v>46048</v>
      </c>
      <c r="I25">
        <v>799</v>
      </c>
      <c r="J25" s="2" t="s">
        <v>12</v>
      </c>
      <c r="K25" s="2" t="s">
        <v>38</v>
      </c>
      <c r="L25">
        <v>36</v>
      </c>
      <c r="M25">
        <f>IF(COUNTIFS($D$2:$D25, $D25, $H$2:$H25, $H25)=1, 1, 0)</f>
        <v>1</v>
      </c>
      <c r="N25">
        <f>_xlfn.IFNA(HLOOKUP($J25, fee_reference!$B$1:$E$2, 2, FALSE), 0)</f>
        <v>0</v>
      </c>
    </row>
    <row r="26" spans="1:14" x14ac:dyDescent="0.3">
      <c r="A26" s="2" t="s">
        <v>39</v>
      </c>
      <c r="B26">
        <v>318</v>
      </c>
      <c r="C26">
        <v>22</v>
      </c>
      <c r="D26" t="str">
        <f>IFERROR(VLOOKUP($C26,merchants!$A$2:$D$41,2,FALSE),"Merchant not found")</f>
        <v>Merchant_022</v>
      </c>
      <c r="E26" t="str">
        <f>IFERROR(VLOOKUP($C26, merchants!$A$2:$D$41, 4, FALSE), "Merchant not found")</f>
        <v>South</v>
      </c>
      <c r="F26" t="str">
        <f>IFERROR(VLOOKUP($C26, merchants!$A$2:$D$41, 3, FALSE), "Merchant not found")</f>
        <v>travel</v>
      </c>
      <c r="G26" s="1">
        <v>46039.902777777781</v>
      </c>
      <c r="H26" s="4">
        <f t="shared" si="0"/>
        <v>46039</v>
      </c>
      <c r="I26">
        <v>799</v>
      </c>
      <c r="J26" s="2" t="s">
        <v>9</v>
      </c>
      <c r="K26" s="2" t="s">
        <v>10</v>
      </c>
      <c r="L26">
        <v>11</v>
      </c>
      <c r="M26">
        <f>IF(COUNTIFS($D$2:$D26, $D26, $H$2:$H26, $H26)=1, 1, 0)</f>
        <v>1</v>
      </c>
      <c r="N26">
        <f>_xlfn.IFNA(HLOOKUP($J26, fee_reference!$B$1:$E$2, 2, FALSE), 0)</f>
        <v>1.4999999999999999E-2</v>
      </c>
    </row>
    <row r="27" spans="1:14" x14ac:dyDescent="0.3">
      <c r="A27" s="2" t="s">
        <v>40</v>
      </c>
      <c r="B27">
        <v>159</v>
      </c>
      <c r="C27">
        <v>15</v>
      </c>
      <c r="D27" t="str">
        <f>IFERROR(VLOOKUP($C27,merchants!$A$2:$D$41,2,FALSE),"Merchant not found")</f>
        <v>Merchant_015</v>
      </c>
      <c r="E27" t="str">
        <f>IFERROR(VLOOKUP($C27, merchants!$A$2:$D$41, 4, FALSE), "Merchant not found")</f>
        <v>North</v>
      </c>
      <c r="F27" t="str">
        <f>IFERROR(VLOOKUP($C27, merchants!$A$2:$D$41, 3, FALSE), "Merchant not found")</f>
        <v>travel</v>
      </c>
      <c r="G27" s="1">
        <v>46049.321527777778</v>
      </c>
      <c r="H27" s="4">
        <f t="shared" si="0"/>
        <v>46049</v>
      </c>
      <c r="I27">
        <v>799</v>
      </c>
      <c r="J27" s="2" t="s">
        <v>12</v>
      </c>
      <c r="K27" s="2" t="s">
        <v>10</v>
      </c>
      <c r="L27">
        <v>25</v>
      </c>
      <c r="M27">
        <f>IF(COUNTIFS($D$2:$D27, $D27, $H$2:$H27, $H27)=1, 1, 0)</f>
        <v>1</v>
      </c>
      <c r="N27">
        <f>_xlfn.IFNA(HLOOKUP($J27, fee_reference!$B$1:$E$2, 2, FALSE), 0)</f>
        <v>0</v>
      </c>
    </row>
    <row r="28" spans="1:14" x14ac:dyDescent="0.3">
      <c r="A28" s="2" t="s">
        <v>41</v>
      </c>
      <c r="B28">
        <v>126</v>
      </c>
      <c r="C28">
        <v>31</v>
      </c>
      <c r="D28" t="str">
        <f>IFERROR(VLOOKUP($C28,merchants!$A$2:$D$41,2,FALSE),"Merchant not found")</f>
        <v>Merchant_031</v>
      </c>
      <c r="E28" t="str">
        <f>IFERROR(VLOOKUP($C28, merchants!$A$2:$D$41, 4, FALSE), "Merchant not found")</f>
        <v>East</v>
      </c>
      <c r="F28" t="str">
        <f>IFERROR(VLOOKUP($C28, merchants!$A$2:$D$41, 3, FALSE), "Merchant not found")</f>
        <v>bill_payment</v>
      </c>
      <c r="G28" s="1">
        <v>46027.001388888886</v>
      </c>
      <c r="H28" s="4">
        <f t="shared" si="0"/>
        <v>46027</v>
      </c>
      <c r="I28">
        <v>49</v>
      </c>
      <c r="J28" s="2" t="s">
        <v>24</v>
      </c>
      <c r="K28" s="2" t="s">
        <v>10</v>
      </c>
      <c r="L28">
        <v>78</v>
      </c>
      <c r="M28">
        <f>IF(COUNTIFS($D$2:$D28, $D28, $H$2:$H28, $H28)=1, 1, 0)</f>
        <v>1</v>
      </c>
      <c r="N28">
        <f>_xlfn.IFNA(HLOOKUP($J28, fee_reference!$B$1:$E$2, 2, FALSE), 0)</f>
        <v>2.5000000000000001E-2</v>
      </c>
    </row>
    <row r="29" spans="1:14" x14ac:dyDescent="0.3">
      <c r="A29" s="2" t="s">
        <v>42</v>
      </c>
      <c r="B29">
        <v>213</v>
      </c>
      <c r="C29">
        <v>37</v>
      </c>
      <c r="D29" t="str">
        <f>IFERROR(VLOOKUP($C29,merchants!$A$2:$D$41,2,FALSE),"Merchant not found")</f>
        <v>Merchant_037</v>
      </c>
      <c r="E29" t="str">
        <f>IFERROR(VLOOKUP($C29, merchants!$A$2:$D$41, 4, FALSE), "Merchant not found")</f>
        <v>South</v>
      </c>
      <c r="F29" t="str">
        <f>IFERROR(VLOOKUP($C29, merchants!$A$2:$D$41, 3, FALSE), "Merchant not found")</f>
        <v>entertainment</v>
      </c>
      <c r="G29" s="1">
        <v>46050.103472222225</v>
      </c>
      <c r="H29" s="4">
        <f t="shared" si="0"/>
        <v>46050</v>
      </c>
      <c r="I29">
        <v>99</v>
      </c>
      <c r="J29" s="2" t="s">
        <v>12</v>
      </c>
      <c r="K29" s="2" t="s">
        <v>10</v>
      </c>
      <c r="L29">
        <v>24</v>
      </c>
      <c r="M29">
        <f>IF(COUNTIFS($D$2:$D29, $D29, $H$2:$H29, $H29)=1, 1, 0)</f>
        <v>1</v>
      </c>
      <c r="N29">
        <f>_xlfn.IFNA(HLOOKUP($J29, fee_reference!$B$1:$E$2, 2, FALSE), 0)</f>
        <v>0</v>
      </c>
    </row>
    <row r="30" spans="1:14" x14ac:dyDescent="0.3">
      <c r="A30" s="2" t="s">
        <v>43</v>
      </c>
      <c r="B30">
        <v>254</v>
      </c>
      <c r="C30">
        <v>26</v>
      </c>
      <c r="D30" t="str">
        <f>IFERROR(VLOOKUP($C30,merchants!$A$2:$D$41,2,FALSE),"Merchant not found")</f>
        <v>Merchant_026</v>
      </c>
      <c r="E30" t="str">
        <f>IFERROR(VLOOKUP($C30, merchants!$A$2:$D$41, 4, FALSE), "Merchant not found")</f>
        <v>East</v>
      </c>
      <c r="F30" t="str">
        <f>IFERROR(VLOOKUP($C30, merchants!$A$2:$D$41, 3, FALSE), "Merchant not found")</f>
        <v>food_delivery</v>
      </c>
      <c r="G30" s="1">
        <v>46045.933333333334</v>
      </c>
      <c r="H30" s="4">
        <f t="shared" si="0"/>
        <v>46045</v>
      </c>
      <c r="I30">
        <v>99</v>
      </c>
      <c r="J30" s="2" t="s">
        <v>9</v>
      </c>
      <c r="K30" s="2" t="s">
        <v>10</v>
      </c>
      <c r="L30">
        <v>31</v>
      </c>
      <c r="M30">
        <f>IF(COUNTIFS($D$2:$D30, $D30, $H$2:$H30, $H30)=1, 1, 0)</f>
        <v>1</v>
      </c>
      <c r="N30">
        <f>_xlfn.IFNA(HLOOKUP($J30, fee_reference!$B$1:$E$2, 2, FALSE), 0)</f>
        <v>1.4999999999999999E-2</v>
      </c>
    </row>
    <row r="31" spans="1:14" x14ac:dyDescent="0.3">
      <c r="A31" s="2" t="s">
        <v>44</v>
      </c>
      <c r="B31">
        <v>3</v>
      </c>
      <c r="C31">
        <v>7</v>
      </c>
      <c r="D31" t="str">
        <f>IFERROR(VLOOKUP($C31,merchants!$A$2:$D$41,2,FALSE),"Merchant not found")</f>
        <v>Merchant_007</v>
      </c>
      <c r="E31" t="str">
        <f>IFERROR(VLOOKUP($C31, merchants!$A$2:$D$41, 4, FALSE), "Merchant not found")</f>
        <v>East</v>
      </c>
      <c r="F31" t="str">
        <f>IFERROR(VLOOKUP($C31, merchants!$A$2:$D$41, 3, FALSE), "Merchant not found")</f>
        <v>food_delivery</v>
      </c>
      <c r="G31" s="1">
        <v>46027.863888888889</v>
      </c>
      <c r="H31" s="4">
        <f t="shared" si="0"/>
        <v>46027</v>
      </c>
      <c r="I31">
        <v>1499</v>
      </c>
      <c r="J31" s="2" t="s">
        <v>12</v>
      </c>
      <c r="K31" s="2" t="s">
        <v>10</v>
      </c>
      <c r="L31">
        <v>99</v>
      </c>
      <c r="M31">
        <f>IF(COUNTIFS($D$2:$D31, $D31, $H$2:$H31, $H31)=1, 1, 0)</f>
        <v>1</v>
      </c>
      <c r="N31">
        <f>_xlfn.IFNA(HLOOKUP($J31, fee_reference!$B$1:$E$2, 2, FALSE), 0)</f>
        <v>0</v>
      </c>
    </row>
    <row r="32" spans="1:14" x14ac:dyDescent="0.3">
      <c r="A32" s="2" t="s">
        <v>45</v>
      </c>
      <c r="B32">
        <v>266</v>
      </c>
      <c r="C32">
        <v>30</v>
      </c>
      <c r="D32" t="str">
        <f>IFERROR(VLOOKUP($C32,merchants!$A$2:$D$41,2,FALSE),"Merchant not found")</f>
        <v>Merchant_030</v>
      </c>
      <c r="E32" t="str">
        <f>IFERROR(VLOOKUP($C32, merchants!$A$2:$D$41, 4, FALSE), "Merchant not found")</f>
        <v>West</v>
      </c>
      <c r="F32" t="str">
        <f>IFERROR(VLOOKUP($C32, merchants!$A$2:$D$41, 3, FALSE), "Merchant not found")</f>
        <v>travel</v>
      </c>
      <c r="G32" s="1">
        <v>46036.299305555556</v>
      </c>
      <c r="H32" s="4">
        <f t="shared" si="0"/>
        <v>46036</v>
      </c>
      <c r="I32">
        <v>499</v>
      </c>
      <c r="J32" s="2" t="s">
        <v>24</v>
      </c>
      <c r="K32" s="2" t="s">
        <v>10</v>
      </c>
      <c r="L32">
        <v>6</v>
      </c>
      <c r="M32">
        <f>IF(COUNTIFS($D$2:$D32, $D32, $H$2:$H32, $H32)=1, 1, 0)</f>
        <v>1</v>
      </c>
      <c r="N32">
        <f>_xlfn.IFNA(HLOOKUP($J32, fee_reference!$B$1:$E$2, 2, FALSE), 0)</f>
        <v>2.5000000000000001E-2</v>
      </c>
    </row>
    <row r="33" spans="1:14" x14ac:dyDescent="0.3">
      <c r="A33" s="2" t="s">
        <v>46</v>
      </c>
      <c r="B33">
        <v>63</v>
      </c>
      <c r="C33">
        <v>30</v>
      </c>
      <c r="D33" t="str">
        <f>IFERROR(VLOOKUP($C33,merchants!$A$2:$D$41,2,FALSE),"Merchant not found")</f>
        <v>Merchant_030</v>
      </c>
      <c r="E33" t="str">
        <f>IFERROR(VLOOKUP($C33, merchants!$A$2:$D$41, 4, FALSE), "Merchant not found")</f>
        <v>West</v>
      </c>
      <c r="F33" t="str">
        <f>IFERROR(VLOOKUP($C33, merchants!$A$2:$D$41, 3, FALSE), "Merchant not found")</f>
        <v>travel</v>
      </c>
      <c r="G33" s="1">
        <v>46040.331944444442</v>
      </c>
      <c r="H33" s="4">
        <f t="shared" si="0"/>
        <v>46040</v>
      </c>
      <c r="I33">
        <v>799</v>
      </c>
      <c r="J33" s="2" t="s">
        <v>12</v>
      </c>
      <c r="K33" s="2" t="s">
        <v>10</v>
      </c>
      <c r="L33">
        <v>17</v>
      </c>
      <c r="M33">
        <f>IF(COUNTIFS($D$2:$D33, $D33, $H$2:$H33, $H33)=1, 1, 0)</f>
        <v>1</v>
      </c>
      <c r="N33">
        <f>_xlfn.IFNA(HLOOKUP($J33, fee_reference!$B$1:$E$2, 2, FALSE), 0)</f>
        <v>0</v>
      </c>
    </row>
    <row r="34" spans="1:14" x14ac:dyDescent="0.3">
      <c r="A34" s="2" t="s">
        <v>47</v>
      </c>
      <c r="B34">
        <v>272</v>
      </c>
      <c r="C34">
        <v>36</v>
      </c>
      <c r="D34" t="str">
        <f>IFERROR(VLOOKUP($C34,merchants!$A$2:$D$41,2,FALSE),"Merchant not found")</f>
        <v>Merchant_036</v>
      </c>
      <c r="E34" t="str">
        <f>IFERROR(VLOOKUP($C34, merchants!$A$2:$D$41, 4, FALSE), "Merchant not found")</f>
        <v>East</v>
      </c>
      <c r="F34" t="str">
        <f>IFERROR(VLOOKUP($C34, merchants!$A$2:$D$41, 3, FALSE), "Merchant not found")</f>
        <v>entertainment</v>
      </c>
      <c r="G34" s="1">
        <v>46048.612500000003</v>
      </c>
      <c r="H34" s="4">
        <f t="shared" si="0"/>
        <v>46048</v>
      </c>
      <c r="I34">
        <v>149</v>
      </c>
      <c r="J34" s="2" t="s">
        <v>12</v>
      </c>
      <c r="K34" s="2" t="s">
        <v>10</v>
      </c>
      <c r="L34">
        <v>76</v>
      </c>
      <c r="M34">
        <f>IF(COUNTIFS($D$2:$D34, $D34, $H$2:$H34, $H34)=1, 1, 0)</f>
        <v>1</v>
      </c>
      <c r="N34">
        <f>_xlfn.IFNA(HLOOKUP($J34, fee_reference!$B$1:$E$2, 2, FALSE), 0)</f>
        <v>0</v>
      </c>
    </row>
    <row r="35" spans="1:14" x14ac:dyDescent="0.3">
      <c r="A35" s="2" t="s">
        <v>48</v>
      </c>
      <c r="B35">
        <v>259</v>
      </c>
      <c r="C35">
        <v>28</v>
      </c>
      <c r="D35" t="str">
        <f>IFERROR(VLOOKUP($C35,merchants!$A$2:$D$41,2,FALSE),"Merchant not found")</f>
        <v>Merchant_028</v>
      </c>
      <c r="E35" t="str">
        <f>IFERROR(VLOOKUP($C35, merchants!$A$2:$D$41, 4, FALSE), "Merchant not found")</f>
        <v>South</v>
      </c>
      <c r="F35" t="str">
        <f>IFERROR(VLOOKUP($C35, merchants!$A$2:$D$41, 3, FALSE), "Merchant not found")</f>
        <v>ecommerce</v>
      </c>
      <c r="G35" s="1">
        <v>46033.61041666667</v>
      </c>
      <c r="H35" s="4">
        <f t="shared" si="0"/>
        <v>46033</v>
      </c>
      <c r="I35">
        <v>49</v>
      </c>
      <c r="J35" s="2" t="s">
        <v>9</v>
      </c>
      <c r="K35" s="2" t="s">
        <v>10</v>
      </c>
      <c r="L35">
        <v>70</v>
      </c>
      <c r="M35">
        <f>IF(COUNTIFS($D$2:$D35, $D35, $H$2:$H35, $H35)=1, 1, 0)</f>
        <v>1</v>
      </c>
      <c r="N35">
        <f>_xlfn.IFNA(HLOOKUP($J35, fee_reference!$B$1:$E$2, 2, FALSE), 0)</f>
        <v>1.4999999999999999E-2</v>
      </c>
    </row>
    <row r="36" spans="1:14" x14ac:dyDescent="0.3">
      <c r="A36" s="2" t="s">
        <v>49</v>
      </c>
      <c r="B36">
        <v>244</v>
      </c>
      <c r="C36">
        <v>29</v>
      </c>
      <c r="D36" t="str">
        <f>IFERROR(VLOOKUP($C36,merchants!$A$2:$D$41,2,FALSE),"Merchant not found")</f>
        <v>Merchant_029</v>
      </c>
      <c r="E36" t="str">
        <f>IFERROR(VLOOKUP($C36, merchants!$A$2:$D$41, 4, FALSE), "Merchant not found")</f>
        <v>North</v>
      </c>
      <c r="F36" t="str">
        <f>IFERROR(VLOOKUP($C36, merchants!$A$2:$D$41, 3, FALSE), "Merchant not found")</f>
        <v>ecommerce</v>
      </c>
      <c r="G36" s="1">
        <v>46037.240972222222</v>
      </c>
      <c r="H36" s="4">
        <f t="shared" si="0"/>
        <v>46037</v>
      </c>
      <c r="I36">
        <v>299</v>
      </c>
      <c r="J36" s="2" t="s">
        <v>15</v>
      </c>
      <c r="K36" s="2" t="s">
        <v>10</v>
      </c>
      <c r="L36">
        <v>33</v>
      </c>
      <c r="M36">
        <f>IF(COUNTIFS($D$2:$D36, $D36, $H$2:$H36, $H36)=1, 1, 0)</f>
        <v>1</v>
      </c>
      <c r="N36">
        <f>_xlfn.IFNA(HLOOKUP($J36, fee_reference!$B$1:$E$2, 2, FALSE), 0)</f>
        <v>0.01</v>
      </c>
    </row>
    <row r="37" spans="1:14" x14ac:dyDescent="0.3">
      <c r="A37" s="2" t="s">
        <v>50</v>
      </c>
      <c r="B37">
        <v>327</v>
      </c>
      <c r="C37">
        <v>18</v>
      </c>
      <c r="D37" t="str">
        <f>IFERROR(VLOOKUP($C37,merchants!$A$2:$D$41,2,FALSE),"Merchant not found")</f>
        <v>Merchant_018</v>
      </c>
      <c r="E37" t="str">
        <f>IFERROR(VLOOKUP($C37, merchants!$A$2:$D$41, 4, FALSE), "Merchant not found")</f>
        <v>West</v>
      </c>
      <c r="F37" t="str">
        <f>IFERROR(VLOOKUP($C37, merchants!$A$2:$D$41, 3, FALSE), "Merchant not found")</f>
        <v>grocery</v>
      </c>
      <c r="G37" s="1">
        <v>46047.328472222223</v>
      </c>
      <c r="H37" s="4">
        <f t="shared" si="0"/>
        <v>46047</v>
      </c>
      <c r="I37">
        <v>149</v>
      </c>
      <c r="J37" s="2" t="s">
        <v>24</v>
      </c>
      <c r="K37" s="2" t="s">
        <v>10</v>
      </c>
      <c r="L37">
        <v>98</v>
      </c>
      <c r="M37">
        <f>IF(COUNTIFS($D$2:$D37, $D37, $H$2:$H37, $H37)=1, 1, 0)</f>
        <v>1</v>
      </c>
      <c r="N37">
        <f>_xlfn.IFNA(HLOOKUP($J37, fee_reference!$B$1:$E$2, 2, FALSE), 0)</f>
        <v>2.5000000000000001E-2</v>
      </c>
    </row>
    <row r="38" spans="1:14" x14ac:dyDescent="0.3">
      <c r="A38" s="2" t="s">
        <v>51</v>
      </c>
      <c r="B38">
        <v>321</v>
      </c>
      <c r="C38">
        <v>16</v>
      </c>
      <c r="D38" t="str">
        <f>IFERROR(VLOOKUP($C38,merchants!$A$2:$D$41,2,FALSE),"Merchant not found")</f>
        <v>Merchant_016</v>
      </c>
      <c r="E38" t="str">
        <f>IFERROR(VLOOKUP($C38, merchants!$A$2:$D$41, 4, FALSE), "Merchant not found")</f>
        <v>West</v>
      </c>
      <c r="F38" t="str">
        <f>IFERROR(VLOOKUP($C38, merchants!$A$2:$D$41, 3, FALSE), "Merchant not found")</f>
        <v>bill_payment</v>
      </c>
      <c r="G38" s="1">
        <v>46047.688194444447</v>
      </c>
      <c r="H38" s="4">
        <f t="shared" si="0"/>
        <v>46047</v>
      </c>
      <c r="I38">
        <v>49</v>
      </c>
      <c r="J38" s="2" t="s">
        <v>12</v>
      </c>
      <c r="K38" s="2" t="s">
        <v>10</v>
      </c>
      <c r="L38">
        <v>35</v>
      </c>
      <c r="M38">
        <f>IF(COUNTIFS($D$2:$D38, $D38, $H$2:$H38, $H38)=1, 1, 0)</f>
        <v>1</v>
      </c>
      <c r="N38">
        <f>_xlfn.IFNA(HLOOKUP($J38, fee_reference!$B$1:$E$2, 2, FALSE), 0)</f>
        <v>0</v>
      </c>
    </row>
    <row r="39" spans="1:14" x14ac:dyDescent="0.3">
      <c r="A39" s="2" t="s">
        <v>52</v>
      </c>
      <c r="B39">
        <v>147</v>
      </c>
      <c r="C39">
        <v>16</v>
      </c>
      <c r="D39" t="str">
        <f>IFERROR(VLOOKUP($C39,merchants!$A$2:$D$41,2,FALSE),"Merchant not found")</f>
        <v>Merchant_016</v>
      </c>
      <c r="E39" t="str">
        <f>IFERROR(VLOOKUP($C39, merchants!$A$2:$D$41, 4, FALSE), "Merchant not found")</f>
        <v>West</v>
      </c>
      <c r="F39" t="str">
        <f>IFERROR(VLOOKUP($C39, merchants!$A$2:$D$41, 3, FALSE), "Merchant not found")</f>
        <v>bill_payment</v>
      </c>
      <c r="G39" s="1">
        <v>46037.114583333336</v>
      </c>
      <c r="H39" s="4">
        <f t="shared" si="0"/>
        <v>46037</v>
      </c>
      <c r="I39">
        <v>2999</v>
      </c>
      <c r="J39" s="2" t="s">
        <v>24</v>
      </c>
      <c r="K39" s="2" t="s">
        <v>10</v>
      </c>
      <c r="L39">
        <v>34</v>
      </c>
      <c r="M39">
        <f>IF(COUNTIFS($D$2:$D39, $D39, $H$2:$H39, $H39)=1, 1, 0)</f>
        <v>1</v>
      </c>
      <c r="N39">
        <f>_xlfn.IFNA(HLOOKUP($J39, fee_reference!$B$1:$E$2, 2, FALSE), 0)</f>
        <v>2.5000000000000001E-2</v>
      </c>
    </row>
    <row r="40" spans="1:14" x14ac:dyDescent="0.3">
      <c r="A40" s="2" t="s">
        <v>53</v>
      </c>
      <c r="B40">
        <v>277</v>
      </c>
      <c r="C40">
        <v>6</v>
      </c>
      <c r="D40" t="str">
        <f>IFERROR(VLOOKUP($C40,merchants!$A$2:$D$41,2,FALSE),"Merchant not found")</f>
        <v>Merchant_006</v>
      </c>
      <c r="E40" t="str">
        <f>IFERROR(VLOOKUP($C40, merchants!$A$2:$D$41, 4, FALSE), "Merchant not found")</f>
        <v>South</v>
      </c>
      <c r="F40" t="str">
        <f>IFERROR(VLOOKUP($C40, merchants!$A$2:$D$41, 3, FALSE), "Merchant not found")</f>
        <v>food_delivery</v>
      </c>
      <c r="G40" s="1">
        <v>46033.456250000003</v>
      </c>
      <c r="H40" s="4">
        <f t="shared" si="0"/>
        <v>46033</v>
      </c>
      <c r="I40">
        <v>1499</v>
      </c>
      <c r="J40" s="2" t="s">
        <v>24</v>
      </c>
      <c r="K40" s="2" t="s">
        <v>10</v>
      </c>
      <c r="L40">
        <v>17</v>
      </c>
      <c r="M40">
        <f>IF(COUNTIFS($D$2:$D40, $D40, $H$2:$H40, $H40)=1, 1, 0)</f>
        <v>1</v>
      </c>
      <c r="N40">
        <f>_xlfn.IFNA(HLOOKUP($J40, fee_reference!$B$1:$E$2, 2, FALSE), 0)</f>
        <v>2.5000000000000001E-2</v>
      </c>
    </row>
    <row r="41" spans="1:14" x14ac:dyDescent="0.3">
      <c r="A41" s="2" t="s">
        <v>54</v>
      </c>
      <c r="B41">
        <v>79</v>
      </c>
      <c r="C41">
        <v>14</v>
      </c>
      <c r="D41" t="str">
        <f>IFERROR(VLOOKUP($C41,merchants!$A$2:$D$41,2,FALSE),"Merchant not found")</f>
        <v>Merchant_014</v>
      </c>
      <c r="E41" t="str">
        <f>IFERROR(VLOOKUP($C41, merchants!$A$2:$D$41, 4, FALSE), "Merchant not found")</f>
        <v>East</v>
      </c>
      <c r="F41" t="str">
        <f>IFERROR(VLOOKUP($C41, merchants!$A$2:$D$41, 3, FALSE), "Merchant not found")</f>
        <v>grocery</v>
      </c>
      <c r="G41" s="1">
        <v>46027.308333333334</v>
      </c>
      <c r="H41" s="4">
        <f t="shared" si="0"/>
        <v>46027</v>
      </c>
      <c r="I41">
        <v>1499</v>
      </c>
      <c r="J41" s="2" t="s">
        <v>12</v>
      </c>
      <c r="K41" s="2" t="s">
        <v>10</v>
      </c>
      <c r="L41">
        <v>8</v>
      </c>
      <c r="M41">
        <f>IF(COUNTIFS($D$2:$D41, $D41, $H$2:$H41, $H41)=1, 1, 0)</f>
        <v>1</v>
      </c>
      <c r="N41">
        <f>_xlfn.IFNA(HLOOKUP($J41, fee_reference!$B$1:$E$2, 2, FALSE), 0)</f>
        <v>0</v>
      </c>
    </row>
    <row r="42" spans="1:14" x14ac:dyDescent="0.3">
      <c r="A42" s="2" t="s">
        <v>55</v>
      </c>
      <c r="B42">
        <v>278</v>
      </c>
      <c r="C42">
        <v>30</v>
      </c>
      <c r="D42" t="str">
        <f>IFERROR(VLOOKUP($C42,merchants!$A$2:$D$41,2,FALSE),"Merchant not found")</f>
        <v>Merchant_030</v>
      </c>
      <c r="E42" t="str">
        <f>IFERROR(VLOOKUP($C42, merchants!$A$2:$D$41, 4, FALSE), "Merchant not found")</f>
        <v>West</v>
      </c>
      <c r="F42" t="str">
        <f>IFERROR(VLOOKUP($C42, merchants!$A$2:$D$41, 3, FALSE), "Merchant not found")</f>
        <v>travel</v>
      </c>
      <c r="G42" s="1">
        <v>46036.556250000001</v>
      </c>
      <c r="H42" s="4">
        <f t="shared" si="0"/>
        <v>46036</v>
      </c>
      <c r="I42">
        <v>1499</v>
      </c>
      <c r="J42" s="2" t="s">
        <v>12</v>
      </c>
      <c r="K42" s="2" t="s">
        <v>10</v>
      </c>
      <c r="L42">
        <v>53</v>
      </c>
      <c r="M42">
        <f>IF(COUNTIFS($D$2:$D42, $D42, $H$2:$H42, $H42)=1, 1, 0)</f>
        <v>0</v>
      </c>
      <c r="N42">
        <f>_xlfn.IFNA(HLOOKUP($J42, fee_reference!$B$1:$E$2, 2, FALSE), 0)</f>
        <v>0</v>
      </c>
    </row>
    <row r="43" spans="1:14" x14ac:dyDescent="0.3">
      <c r="A43" s="2" t="s">
        <v>56</v>
      </c>
      <c r="B43">
        <v>216</v>
      </c>
      <c r="C43">
        <v>25</v>
      </c>
      <c r="D43" t="str">
        <f>IFERROR(VLOOKUP($C43,merchants!$A$2:$D$41,2,FALSE),"Merchant not found")</f>
        <v>Merchant_025</v>
      </c>
      <c r="E43" t="str">
        <f>IFERROR(VLOOKUP($C43, merchants!$A$2:$D$41, 4, FALSE), "Merchant not found")</f>
        <v>South</v>
      </c>
      <c r="F43" t="str">
        <f>IFERROR(VLOOKUP($C43, merchants!$A$2:$D$41, 3, FALSE), "Merchant not found")</f>
        <v>travel</v>
      </c>
      <c r="G43" s="1">
        <v>46024.286805555559</v>
      </c>
      <c r="H43" s="4">
        <f t="shared" si="0"/>
        <v>46024</v>
      </c>
      <c r="I43">
        <v>99</v>
      </c>
      <c r="J43" s="2" t="s">
        <v>12</v>
      </c>
      <c r="K43" s="2" t="s">
        <v>10</v>
      </c>
      <c r="L43">
        <v>98</v>
      </c>
      <c r="M43">
        <f>IF(COUNTIFS($D$2:$D43, $D43, $H$2:$H43, $H43)=1, 1, 0)</f>
        <v>1</v>
      </c>
      <c r="N43">
        <f>_xlfn.IFNA(HLOOKUP($J43, fee_reference!$B$1:$E$2, 2, FALSE), 0)</f>
        <v>0</v>
      </c>
    </row>
    <row r="44" spans="1:14" x14ac:dyDescent="0.3">
      <c r="A44" s="2" t="s">
        <v>57</v>
      </c>
      <c r="B44">
        <v>295</v>
      </c>
      <c r="C44">
        <v>25</v>
      </c>
      <c r="D44" t="str">
        <f>IFERROR(VLOOKUP($C44,merchants!$A$2:$D$41,2,FALSE),"Merchant not found")</f>
        <v>Merchant_025</v>
      </c>
      <c r="E44" t="str">
        <f>IFERROR(VLOOKUP($C44, merchants!$A$2:$D$41, 4, FALSE), "Merchant not found")</f>
        <v>South</v>
      </c>
      <c r="F44" t="str">
        <f>IFERROR(VLOOKUP($C44, merchants!$A$2:$D$41, 3, FALSE), "Merchant not found")</f>
        <v>travel</v>
      </c>
      <c r="G44" s="1">
        <v>46041.917361111111</v>
      </c>
      <c r="H44" s="4">
        <f t="shared" si="0"/>
        <v>46041</v>
      </c>
      <c r="I44">
        <v>1499</v>
      </c>
      <c r="J44" s="2" t="s">
        <v>12</v>
      </c>
      <c r="K44" s="2" t="s">
        <v>10</v>
      </c>
      <c r="L44">
        <v>61</v>
      </c>
      <c r="M44">
        <f>IF(COUNTIFS($D$2:$D44, $D44, $H$2:$H44, $H44)=1, 1, 0)</f>
        <v>1</v>
      </c>
      <c r="N44">
        <f>_xlfn.IFNA(HLOOKUP($J44, fee_reference!$B$1:$E$2, 2, FALSE), 0)</f>
        <v>0</v>
      </c>
    </row>
    <row r="45" spans="1:14" x14ac:dyDescent="0.3">
      <c r="A45" s="2" t="s">
        <v>58</v>
      </c>
      <c r="B45">
        <v>200</v>
      </c>
      <c r="C45">
        <v>27</v>
      </c>
      <c r="D45" t="str">
        <f>IFERROR(VLOOKUP($C45,merchants!$A$2:$D$41,2,FALSE),"Merchant not found")</f>
        <v>Merchant_027</v>
      </c>
      <c r="E45" t="str">
        <f>IFERROR(VLOOKUP($C45, merchants!$A$2:$D$41, 4, FALSE), "Merchant not found")</f>
        <v>North</v>
      </c>
      <c r="F45" t="str">
        <f>IFERROR(VLOOKUP($C45, merchants!$A$2:$D$41, 3, FALSE), "Merchant not found")</f>
        <v>ecommerce</v>
      </c>
      <c r="G45" s="1">
        <v>46023.47152777778</v>
      </c>
      <c r="H45" s="4">
        <f t="shared" si="0"/>
        <v>46023</v>
      </c>
      <c r="I45">
        <v>149</v>
      </c>
      <c r="J45" s="2" t="s">
        <v>12</v>
      </c>
      <c r="K45" s="2" t="s">
        <v>10</v>
      </c>
      <c r="L45">
        <v>68</v>
      </c>
      <c r="M45">
        <f>IF(COUNTIFS($D$2:$D45, $D45, $H$2:$H45, $H45)=1, 1, 0)</f>
        <v>1</v>
      </c>
      <c r="N45">
        <f>_xlfn.IFNA(HLOOKUP($J45, fee_reference!$B$1:$E$2, 2, FALSE), 0)</f>
        <v>0</v>
      </c>
    </row>
    <row r="46" spans="1:14" x14ac:dyDescent="0.3">
      <c r="A46" s="2" t="s">
        <v>59</v>
      </c>
      <c r="B46">
        <v>309</v>
      </c>
      <c r="C46">
        <v>15</v>
      </c>
      <c r="D46" t="str">
        <f>IFERROR(VLOOKUP($C46,merchants!$A$2:$D$41,2,FALSE),"Merchant not found")</f>
        <v>Merchant_015</v>
      </c>
      <c r="E46" t="str">
        <f>IFERROR(VLOOKUP($C46, merchants!$A$2:$D$41, 4, FALSE), "Merchant not found")</f>
        <v>North</v>
      </c>
      <c r="F46" t="str">
        <f>IFERROR(VLOOKUP($C46, merchants!$A$2:$D$41, 3, FALSE), "Merchant not found")</f>
        <v>travel</v>
      </c>
      <c r="G46" s="1">
        <v>46046.981944444444</v>
      </c>
      <c r="H46" s="4">
        <f t="shared" si="0"/>
        <v>46046</v>
      </c>
      <c r="I46">
        <v>99</v>
      </c>
      <c r="J46" s="2" t="s">
        <v>15</v>
      </c>
      <c r="K46" s="2" t="s">
        <v>10</v>
      </c>
      <c r="L46">
        <v>62</v>
      </c>
      <c r="M46">
        <f>IF(COUNTIFS($D$2:$D46, $D46, $H$2:$H46, $H46)=1, 1, 0)</f>
        <v>1</v>
      </c>
      <c r="N46">
        <f>_xlfn.IFNA(HLOOKUP($J46, fee_reference!$B$1:$E$2, 2, FALSE), 0)</f>
        <v>0.01</v>
      </c>
    </row>
    <row r="47" spans="1:14" x14ac:dyDescent="0.3">
      <c r="A47" s="2" t="s">
        <v>60</v>
      </c>
      <c r="B47">
        <v>249</v>
      </c>
      <c r="C47">
        <v>2</v>
      </c>
      <c r="D47" t="str">
        <f>IFERROR(VLOOKUP($C47,merchants!$A$2:$D$41,2,FALSE),"Merchant not found")</f>
        <v>Merchant_002</v>
      </c>
      <c r="E47" t="str">
        <f>IFERROR(VLOOKUP($C47, merchants!$A$2:$D$41, 4, FALSE), "Merchant not found")</f>
        <v>West</v>
      </c>
      <c r="F47" t="str">
        <f>IFERROR(VLOOKUP($C47, merchants!$A$2:$D$41, 3, FALSE), "Merchant not found")</f>
        <v>grocery</v>
      </c>
      <c r="G47" s="1">
        <v>46030.352083333331</v>
      </c>
      <c r="H47" s="4">
        <f t="shared" si="0"/>
        <v>46030</v>
      </c>
      <c r="I47">
        <v>299</v>
      </c>
      <c r="J47" s="2" t="s">
        <v>9</v>
      </c>
      <c r="K47" s="2" t="s">
        <v>10</v>
      </c>
      <c r="L47">
        <v>49</v>
      </c>
      <c r="M47">
        <f>IF(COUNTIFS($D$2:$D47, $D47, $H$2:$H47, $H47)=1, 1, 0)</f>
        <v>1</v>
      </c>
      <c r="N47">
        <f>_xlfn.IFNA(HLOOKUP($J47, fee_reference!$B$1:$E$2, 2, FALSE), 0)</f>
        <v>1.4999999999999999E-2</v>
      </c>
    </row>
    <row r="48" spans="1:14" x14ac:dyDescent="0.3">
      <c r="A48" s="2" t="s">
        <v>61</v>
      </c>
      <c r="B48">
        <v>208</v>
      </c>
      <c r="C48">
        <v>11</v>
      </c>
      <c r="D48" t="str">
        <f>IFERROR(VLOOKUP($C48,merchants!$A$2:$D$41,2,FALSE),"Merchant not found")</f>
        <v>Merchant_011</v>
      </c>
      <c r="E48" t="str">
        <f>IFERROR(VLOOKUP($C48, merchants!$A$2:$D$41, 4, FALSE), "Merchant not found")</f>
        <v>North</v>
      </c>
      <c r="F48" t="str">
        <f>IFERROR(VLOOKUP($C48, merchants!$A$2:$D$41, 3, FALSE), "Merchant not found")</f>
        <v>ecommerce</v>
      </c>
      <c r="G48" s="1">
        <v>46033.904861111114</v>
      </c>
      <c r="H48" s="4">
        <f t="shared" si="0"/>
        <v>46033</v>
      </c>
      <c r="I48">
        <v>4999</v>
      </c>
      <c r="J48" s="2" t="s">
        <v>15</v>
      </c>
      <c r="K48" s="2" t="s">
        <v>10</v>
      </c>
      <c r="L48">
        <v>59</v>
      </c>
      <c r="M48">
        <f>IF(COUNTIFS($D$2:$D48, $D48, $H$2:$H48, $H48)=1, 1, 0)</f>
        <v>1</v>
      </c>
      <c r="N48">
        <f>_xlfn.IFNA(HLOOKUP($J48, fee_reference!$B$1:$E$2, 2, FALSE), 0)</f>
        <v>0.01</v>
      </c>
    </row>
    <row r="49" spans="1:14" x14ac:dyDescent="0.3">
      <c r="A49" s="2" t="s">
        <v>62</v>
      </c>
      <c r="B49">
        <v>274</v>
      </c>
      <c r="C49">
        <v>2</v>
      </c>
      <c r="D49" t="str">
        <f>IFERROR(VLOOKUP($C49,merchants!$A$2:$D$41,2,FALSE),"Merchant not found")</f>
        <v>Merchant_002</v>
      </c>
      <c r="E49" t="str">
        <f>IFERROR(VLOOKUP($C49, merchants!$A$2:$D$41, 4, FALSE), "Merchant not found")</f>
        <v>West</v>
      </c>
      <c r="F49" t="str">
        <f>IFERROR(VLOOKUP($C49, merchants!$A$2:$D$41, 3, FALSE), "Merchant not found")</f>
        <v>grocery</v>
      </c>
      <c r="G49" s="1">
        <v>46052.193749999999</v>
      </c>
      <c r="H49" s="4">
        <f t="shared" si="0"/>
        <v>46052</v>
      </c>
      <c r="I49">
        <v>299</v>
      </c>
      <c r="J49" s="2" t="s">
        <v>12</v>
      </c>
      <c r="K49" s="2" t="s">
        <v>10</v>
      </c>
      <c r="L49">
        <v>50</v>
      </c>
      <c r="M49">
        <f>IF(COUNTIFS($D$2:$D49, $D49, $H$2:$H49, $H49)=1, 1, 0)</f>
        <v>1</v>
      </c>
      <c r="N49">
        <f>_xlfn.IFNA(HLOOKUP($J49, fee_reference!$B$1:$E$2, 2, FALSE), 0)</f>
        <v>0</v>
      </c>
    </row>
    <row r="50" spans="1:14" x14ac:dyDescent="0.3">
      <c r="A50" s="2" t="s">
        <v>63</v>
      </c>
      <c r="B50">
        <v>14</v>
      </c>
      <c r="C50">
        <v>6</v>
      </c>
      <c r="D50" t="str">
        <f>IFERROR(VLOOKUP($C50,merchants!$A$2:$D$41,2,FALSE),"Merchant not found")</f>
        <v>Merchant_006</v>
      </c>
      <c r="E50" t="str">
        <f>IFERROR(VLOOKUP($C50, merchants!$A$2:$D$41, 4, FALSE), "Merchant not found")</f>
        <v>South</v>
      </c>
      <c r="F50" t="str">
        <f>IFERROR(VLOOKUP($C50, merchants!$A$2:$D$41, 3, FALSE), "Merchant not found")</f>
        <v>food_delivery</v>
      </c>
      <c r="G50" s="1">
        <v>46041.779166666667</v>
      </c>
      <c r="H50" s="4">
        <f t="shared" si="0"/>
        <v>46041</v>
      </c>
      <c r="I50">
        <v>49</v>
      </c>
      <c r="J50" s="2" t="s">
        <v>9</v>
      </c>
      <c r="K50" s="2" t="s">
        <v>10</v>
      </c>
      <c r="L50">
        <v>82</v>
      </c>
      <c r="M50">
        <f>IF(COUNTIFS($D$2:$D50, $D50, $H$2:$H50, $H50)=1, 1, 0)</f>
        <v>1</v>
      </c>
      <c r="N50">
        <f>_xlfn.IFNA(HLOOKUP($J50, fee_reference!$B$1:$E$2, 2, FALSE), 0)</f>
        <v>1.4999999999999999E-2</v>
      </c>
    </row>
    <row r="51" spans="1:14" x14ac:dyDescent="0.3">
      <c r="A51" s="2" t="s">
        <v>64</v>
      </c>
      <c r="B51">
        <v>237</v>
      </c>
      <c r="C51">
        <v>12</v>
      </c>
      <c r="D51" t="str">
        <f>IFERROR(VLOOKUP($C51,merchants!$A$2:$D$41,2,FALSE),"Merchant not found")</f>
        <v>Merchant_012</v>
      </c>
      <c r="E51" t="str">
        <f>IFERROR(VLOOKUP($C51, merchants!$A$2:$D$41, 4, FALSE), "Merchant not found")</f>
        <v>East</v>
      </c>
      <c r="F51" t="str">
        <f>IFERROR(VLOOKUP($C51, merchants!$A$2:$D$41, 3, FALSE), "Merchant not found")</f>
        <v>ecommerce</v>
      </c>
      <c r="G51" s="1">
        <v>46036.204861111109</v>
      </c>
      <c r="H51" s="4">
        <f t="shared" si="0"/>
        <v>46036</v>
      </c>
      <c r="I51">
        <v>49</v>
      </c>
      <c r="J51" s="2" t="s">
        <v>12</v>
      </c>
      <c r="K51" s="2" t="s">
        <v>10</v>
      </c>
      <c r="L51">
        <v>6</v>
      </c>
      <c r="M51">
        <f>IF(COUNTIFS($D$2:$D51, $D51, $H$2:$H51, $H51)=1, 1, 0)</f>
        <v>1</v>
      </c>
      <c r="N51">
        <f>_xlfn.IFNA(HLOOKUP($J51, fee_reference!$B$1:$E$2, 2, FALSE), 0)</f>
        <v>0</v>
      </c>
    </row>
    <row r="52" spans="1:14" x14ac:dyDescent="0.3">
      <c r="A52" s="2" t="s">
        <v>65</v>
      </c>
      <c r="B52">
        <v>109</v>
      </c>
      <c r="C52">
        <v>30</v>
      </c>
      <c r="D52" t="str">
        <f>IFERROR(VLOOKUP($C52,merchants!$A$2:$D$41,2,FALSE),"Merchant not found")</f>
        <v>Merchant_030</v>
      </c>
      <c r="E52" t="str">
        <f>IFERROR(VLOOKUP($C52, merchants!$A$2:$D$41, 4, FALSE), "Merchant not found")</f>
        <v>West</v>
      </c>
      <c r="F52" t="str">
        <f>IFERROR(VLOOKUP($C52, merchants!$A$2:$D$41, 3, FALSE), "Merchant not found")</f>
        <v>travel</v>
      </c>
      <c r="G52" s="1">
        <v>46031.513888888891</v>
      </c>
      <c r="H52" s="4">
        <f t="shared" si="0"/>
        <v>46031</v>
      </c>
      <c r="I52">
        <v>99</v>
      </c>
      <c r="J52" s="2" t="s">
        <v>12</v>
      </c>
      <c r="K52" s="2" t="s">
        <v>10</v>
      </c>
      <c r="L52">
        <v>41</v>
      </c>
      <c r="M52">
        <f>IF(COUNTIFS($D$2:$D52, $D52, $H$2:$H52, $H52)=1, 1, 0)</f>
        <v>1</v>
      </c>
      <c r="N52">
        <f>_xlfn.IFNA(HLOOKUP($J52, fee_reference!$B$1:$E$2, 2, FALSE), 0)</f>
        <v>0</v>
      </c>
    </row>
    <row r="53" spans="1:14" x14ac:dyDescent="0.3">
      <c r="A53" s="2" t="s">
        <v>66</v>
      </c>
      <c r="B53">
        <v>216</v>
      </c>
      <c r="C53">
        <v>17</v>
      </c>
      <c r="D53" t="str">
        <f>IFERROR(VLOOKUP($C53,merchants!$A$2:$D$41,2,FALSE),"Merchant not found")</f>
        <v>Merchant_017</v>
      </c>
      <c r="E53" t="str">
        <f>IFERROR(VLOOKUP($C53, merchants!$A$2:$D$41, 4, FALSE), "Merchant not found")</f>
        <v>North</v>
      </c>
      <c r="F53" t="str">
        <f>IFERROR(VLOOKUP($C53, merchants!$A$2:$D$41, 3, FALSE), "Merchant not found")</f>
        <v>grocery</v>
      </c>
      <c r="G53" s="1">
        <v>46033.511805555558</v>
      </c>
      <c r="H53" s="4">
        <f t="shared" si="0"/>
        <v>46033</v>
      </c>
      <c r="I53">
        <v>4999</v>
      </c>
      <c r="J53" s="2" t="s">
        <v>12</v>
      </c>
      <c r="K53" s="2" t="s">
        <v>10</v>
      </c>
      <c r="L53">
        <v>10</v>
      </c>
      <c r="M53">
        <f>IF(COUNTIFS($D$2:$D53, $D53, $H$2:$H53, $H53)=1, 1, 0)</f>
        <v>1</v>
      </c>
      <c r="N53">
        <f>_xlfn.IFNA(HLOOKUP($J53, fee_reference!$B$1:$E$2, 2, FALSE), 0)</f>
        <v>0</v>
      </c>
    </row>
    <row r="54" spans="1:14" x14ac:dyDescent="0.3">
      <c r="A54" s="2" t="s">
        <v>67</v>
      </c>
      <c r="B54">
        <v>277</v>
      </c>
      <c r="C54">
        <v>4</v>
      </c>
      <c r="D54" t="str">
        <f>IFERROR(VLOOKUP($C54,merchants!$A$2:$D$41,2,FALSE),"Merchant not found")</f>
        <v>Merchant_004</v>
      </c>
      <c r="E54" t="str">
        <f>IFERROR(VLOOKUP($C54, merchants!$A$2:$D$41, 4, FALSE), "Merchant not found")</f>
        <v>East</v>
      </c>
      <c r="F54" t="str">
        <f>IFERROR(VLOOKUP($C54, merchants!$A$2:$D$41, 3, FALSE), "Merchant not found")</f>
        <v>ecommerce</v>
      </c>
      <c r="G54" s="1">
        <v>46038.032638888886</v>
      </c>
      <c r="H54" s="4">
        <f t="shared" si="0"/>
        <v>46038</v>
      </c>
      <c r="I54">
        <v>799</v>
      </c>
      <c r="J54" s="2" t="s">
        <v>12</v>
      </c>
      <c r="K54" s="2" t="s">
        <v>10</v>
      </c>
      <c r="L54">
        <v>44</v>
      </c>
      <c r="M54">
        <f>IF(COUNTIFS($D$2:$D54, $D54, $H$2:$H54, $H54)=1, 1, 0)</f>
        <v>1</v>
      </c>
      <c r="N54">
        <f>_xlfn.IFNA(HLOOKUP($J54, fee_reference!$B$1:$E$2, 2, FALSE), 0)</f>
        <v>0</v>
      </c>
    </row>
    <row r="55" spans="1:14" x14ac:dyDescent="0.3">
      <c r="A55" s="2" t="s">
        <v>68</v>
      </c>
      <c r="B55">
        <v>334</v>
      </c>
      <c r="C55">
        <v>3</v>
      </c>
      <c r="D55" t="str">
        <f>IFERROR(VLOOKUP($C55,merchants!$A$2:$D$41,2,FALSE),"Merchant not found")</f>
        <v>Merchant_003</v>
      </c>
      <c r="E55" t="str">
        <f>IFERROR(VLOOKUP($C55, merchants!$A$2:$D$41, 4, FALSE), "Merchant not found")</f>
        <v>East</v>
      </c>
      <c r="F55" t="str">
        <f>IFERROR(VLOOKUP($C55, merchants!$A$2:$D$41, 3, FALSE), "Merchant not found")</f>
        <v>grocery</v>
      </c>
      <c r="G55" s="1">
        <v>46030.836111111108</v>
      </c>
      <c r="H55" s="4">
        <f t="shared" si="0"/>
        <v>46030</v>
      </c>
      <c r="I55">
        <v>149</v>
      </c>
      <c r="J55" s="2" t="s">
        <v>9</v>
      </c>
      <c r="K55" s="2" t="s">
        <v>10</v>
      </c>
      <c r="L55">
        <v>96</v>
      </c>
      <c r="M55">
        <f>IF(COUNTIFS($D$2:$D55, $D55, $H$2:$H55, $H55)=1, 1, 0)</f>
        <v>1</v>
      </c>
      <c r="N55">
        <f>_xlfn.IFNA(HLOOKUP($J55, fee_reference!$B$1:$E$2, 2, FALSE), 0)</f>
        <v>1.4999999999999999E-2</v>
      </c>
    </row>
    <row r="56" spans="1:14" x14ac:dyDescent="0.3">
      <c r="A56" s="2" t="s">
        <v>69</v>
      </c>
      <c r="B56">
        <v>11</v>
      </c>
      <c r="C56">
        <v>40</v>
      </c>
      <c r="D56" t="str">
        <f>IFERROR(VLOOKUP($C56,merchants!$A$2:$D$41,2,FALSE),"Merchant not found")</f>
        <v>Merchant_040</v>
      </c>
      <c r="E56" t="str">
        <f>IFERROR(VLOOKUP($C56, merchants!$A$2:$D$41, 4, FALSE), "Merchant not found")</f>
        <v>South</v>
      </c>
      <c r="F56" t="str">
        <f>IFERROR(VLOOKUP($C56, merchants!$A$2:$D$41, 3, FALSE), "Merchant not found")</f>
        <v>entertainment</v>
      </c>
      <c r="G56" s="1">
        <v>46023.3</v>
      </c>
      <c r="H56" s="4">
        <f t="shared" si="0"/>
        <v>46023</v>
      </c>
      <c r="I56">
        <v>299</v>
      </c>
      <c r="J56" s="2" t="s">
        <v>12</v>
      </c>
      <c r="K56" s="2" t="s">
        <v>10</v>
      </c>
      <c r="L56">
        <v>19</v>
      </c>
      <c r="M56">
        <f>IF(COUNTIFS($D$2:$D56, $D56, $H$2:$H56, $H56)=1, 1, 0)</f>
        <v>1</v>
      </c>
      <c r="N56">
        <f>_xlfn.IFNA(HLOOKUP($J56, fee_reference!$B$1:$E$2, 2, FALSE), 0)</f>
        <v>0</v>
      </c>
    </row>
    <row r="57" spans="1:14" x14ac:dyDescent="0.3">
      <c r="A57" s="2" t="s">
        <v>70</v>
      </c>
      <c r="B57">
        <v>343</v>
      </c>
      <c r="C57">
        <v>8</v>
      </c>
      <c r="D57" t="str">
        <f>IFERROR(VLOOKUP($C57,merchants!$A$2:$D$41,2,FALSE),"Merchant not found")</f>
        <v>Merchant_008</v>
      </c>
      <c r="E57" t="str">
        <f>IFERROR(VLOOKUP($C57, merchants!$A$2:$D$41, 4, FALSE), "Merchant not found")</f>
        <v>North</v>
      </c>
      <c r="F57" t="str">
        <f>IFERROR(VLOOKUP($C57, merchants!$A$2:$D$41, 3, FALSE), "Merchant not found")</f>
        <v>food_delivery</v>
      </c>
      <c r="G57" s="1">
        <v>46030.1875</v>
      </c>
      <c r="H57" s="4">
        <f t="shared" si="0"/>
        <v>46030</v>
      </c>
      <c r="I57">
        <v>99</v>
      </c>
      <c r="J57" s="2" t="s">
        <v>12</v>
      </c>
      <c r="K57" s="2" t="s">
        <v>10</v>
      </c>
      <c r="L57">
        <v>72</v>
      </c>
      <c r="M57">
        <f>IF(COUNTIFS($D$2:$D57, $D57, $H$2:$H57, $H57)=1, 1, 0)</f>
        <v>1</v>
      </c>
      <c r="N57">
        <f>_xlfn.IFNA(HLOOKUP($J57, fee_reference!$B$1:$E$2, 2, FALSE), 0)</f>
        <v>0</v>
      </c>
    </row>
    <row r="58" spans="1:14" x14ac:dyDescent="0.3">
      <c r="A58" s="2" t="s">
        <v>71</v>
      </c>
      <c r="B58">
        <v>132</v>
      </c>
      <c r="C58">
        <v>24</v>
      </c>
      <c r="D58" t="str">
        <f>IFERROR(VLOOKUP($C58,merchants!$A$2:$D$41,2,FALSE),"Merchant not found")</f>
        <v>Merchant_024</v>
      </c>
      <c r="E58" t="str">
        <f>IFERROR(VLOOKUP($C58, merchants!$A$2:$D$41, 4, FALSE), "Merchant not found")</f>
        <v>North</v>
      </c>
      <c r="F58" t="str">
        <f>IFERROR(VLOOKUP($C58, merchants!$A$2:$D$41, 3, FALSE), "Merchant not found")</f>
        <v>grocery</v>
      </c>
      <c r="G58" s="1">
        <v>46029.613888888889</v>
      </c>
      <c r="H58" s="4">
        <f t="shared" si="0"/>
        <v>46029</v>
      </c>
      <c r="I58">
        <v>299</v>
      </c>
      <c r="J58" s="2" t="s">
        <v>9</v>
      </c>
      <c r="K58" s="2" t="s">
        <v>10</v>
      </c>
      <c r="L58">
        <v>21</v>
      </c>
      <c r="M58">
        <f>IF(COUNTIFS($D$2:$D58, $D58, $H$2:$H58, $H58)=1, 1, 0)</f>
        <v>1</v>
      </c>
      <c r="N58">
        <f>_xlfn.IFNA(HLOOKUP($J58, fee_reference!$B$1:$E$2, 2, FALSE), 0)</f>
        <v>1.4999999999999999E-2</v>
      </c>
    </row>
    <row r="59" spans="1:14" x14ac:dyDescent="0.3">
      <c r="A59" s="2" t="s">
        <v>72</v>
      </c>
      <c r="B59">
        <v>59</v>
      </c>
      <c r="C59">
        <v>11</v>
      </c>
      <c r="D59" t="str">
        <f>IFERROR(VLOOKUP($C59,merchants!$A$2:$D$41,2,FALSE),"Merchant not found")</f>
        <v>Merchant_011</v>
      </c>
      <c r="E59" t="str">
        <f>IFERROR(VLOOKUP($C59, merchants!$A$2:$D$41, 4, FALSE), "Merchant not found")</f>
        <v>North</v>
      </c>
      <c r="F59" t="str">
        <f>IFERROR(VLOOKUP($C59, merchants!$A$2:$D$41, 3, FALSE), "Merchant not found")</f>
        <v>ecommerce</v>
      </c>
      <c r="G59" s="1">
        <v>46042.824305555558</v>
      </c>
      <c r="H59" s="4">
        <f t="shared" si="0"/>
        <v>46042</v>
      </c>
      <c r="I59">
        <v>299</v>
      </c>
      <c r="J59" s="2" t="s">
        <v>12</v>
      </c>
      <c r="K59" s="2" t="s">
        <v>10</v>
      </c>
      <c r="L59">
        <v>39</v>
      </c>
      <c r="M59">
        <f>IF(COUNTIFS($D$2:$D59, $D59, $H$2:$H59, $H59)=1, 1, 0)</f>
        <v>1</v>
      </c>
      <c r="N59">
        <f>_xlfn.IFNA(HLOOKUP($J59, fee_reference!$B$1:$E$2, 2, FALSE), 0)</f>
        <v>0</v>
      </c>
    </row>
    <row r="60" spans="1:14" x14ac:dyDescent="0.3">
      <c r="A60" s="2" t="s">
        <v>73</v>
      </c>
      <c r="B60">
        <v>160</v>
      </c>
      <c r="C60">
        <v>37</v>
      </c>
      <c r="D60" t="str">
        <f>IFERROR(VLOOKUP($C60,merchants!$A$2:$D$41,2,FALSE),"Merchant not found")</f>
        <v>Merchant_037</v>
      </c>
      <c r="E60" t="str">
        <f>IFERROR(VLOOKUP($C60, merchants!$A$2:$D$41, 4, FALSE), "Merchant not found")</f>
        <v>South</v>
      </c>
      <c r="F60" t="str">
        <f>IFERROR(VLOOKUP($C60, merchants!$A$2:$D$41, 3, FALSE), "Merchant not found")</f>
        <v>entertainment</v>
      </c>
      <c r="G60" s="1">
        <v>46026.750694444447</v>
      </c>
      <c r="H60" s="4">
        <f t="shared" si="0"/>
        <v>46026</v>
      </c>
      <c r="I60">
        <v>49</v>
      </c>
      <c r="J60" s="2" t="s">
        <v>9</v>
      </c>
      <c r="K60" s="2" t="s">
        <v>10</v>
      </c>
      <c r="L60">
        <v>86</v>
      </c>
      <c r="M60">
        <f>IF(COUNTIFS($D$2:$D60, $D60, $H$2:$H60, $H60)=1, 1, 0)</f>
        <v>1</v>
      </c>
      <c r="N60">
        <f>_xlfn.IFNA(HLOOKUP($J60, fee_reference!$B$1:$E$2, 2, FALSE), 0)</f>
        <v>1.4999999999999999E-2</v>
      </c>
    </row>
    <row r="61" spans="1:14" x14ac:dyDescent="0.3">
      <c r="A61" s="2" t="s">
        <v>74</v>
      </c>
      <c r="B61">
        <v>102</v>
      </c>
      <c r="C61">
        <v>5</v>
      </c>
      <c r="D61" t="str">
        <f>IFERROR(VLOOKUP($C61,merchants!$A$2:$D$41,2,FALSE),"Merchant not found")</f>
        <v>Merchant_005</v>
      </c>
      <c r="E61" t="str">
        <f>IFERROR(VLOOKUP($C61, merchants!$A$2:$D$41, 4, FALSE), "Merchant not found")</f>
        <v>South</v>
      </c>
      <c r="F61" t="str">
        <f>IFERROR(VLOOKUP($C61, merchants!$A$2:$D$41, 3, FALSE), "Merchant not found")</f>
        <v>recharge</v>
      </c>
      <c r="G61" s="1">
        <v>46052.517361111109</v>
      </c>
      <c r="H61" s="4">
        <f t="shared" si="0"/>
        <v>46052</v>
      </c>
      <c r="I61">
        <v>2999</v>
      </c>
      <c r="J61" s="2" t="s">
        <v>12</v>
      </c>
      <c r="K61" s="2" t="s">
        <v>10</v>
      </c>
      <c r="L61">
        <v>75</v>
      </c>
      <c r="M61">
        <f>IF(COUNTIFS($D$2:$D61, $D61, $H$2:$H61, $H61)=1, 1, 0)</f>
        <v>1</v>
      </c>
      <c r="N61">
        <f>_xlfn.IFNA(HLOOKUP($J61, fee_reference!$B$1:$E$2, 2, FALSE), 0)</f>
        <v>0</v>
      </c>
    </row>
    <row r="62" spans="1:14" x14ac:dyDescent="0.3">
      <c r="A62" s="2" t="s">
        <v>75</v>
      </c>
      <c r="B62">
        <v>53</v>
      </c>
      <c r="C62">
        <v>20</v>
      </c>
      <c r="D62" t="str">
        <f>IFERROR(VLOOKUP($C62,merchants!$A$2:$D$41,2,FALSE),"Merchant not found")</f>
        <v>Merchant_020</v>
      </c>
      <c r="E62" t="str">
        <f>IFERROR(VLOOKUP($C62, merchants!$A$2:$D$41, 4, FALSE), "Merchant not found")</f>
        <v>East</v>
      </c>
      <c r="F62" t="str">
        <f>IFERROR(VLOOKUP($C62, merchants!$A$2:$D$41, 3, FALSE), "Merchant not found")</f>
        <v>food_delivery</v>
      </c>
      <c r="G62" s="1">
        <v>46045.84375</v>
      </c>
      <c r="H62" s="4">
        <f t="shared" si="0"/>
        <v>46045</v>
      </c>
      <c r="I62">
        <v>49</v>
      </c>
      <c r="J62" s="2" t="s">
        <v>15</v>
      </c>
      <c r="K62" s="2" t="s">
        <v>10</v>
      </c>
      <c r="L62">
        <v>87</v>
      </c>
      <c r="M62">
        <f>IF(COUNTIFS($D$2:$D62, $D62, $H$2:$H62, $H62)=1, 1, 0)</f>
        <v>1</v>
      </c>
      <c r="N62">
        <f>_xlfn.IFNA(HLOOKUP($J62, fee_reference!$B$1:$E$2, 2, FALSE), 0)</f>
        <v>0.01</v>
      </c>
    </row>
    <row r="63" spans="1:14" x14ac:dyDescent="0.3">
      <c r="A63" s="2" t="s">
        <v>76</v>
      </c>
      <c r="B63">
        <v>290</v>
      </c>
      <c r="C63">
        <v>3</v>
      </c>
      <c r="D63" t="str">
        <f>IFERROR(VLOOKUP($C63,merchants!$A$2:$D$41,2,FALSE),"Merchant not found")</f>
        <v>Merchant_003</v>
      </c>
      <c r="E63" t="str">
        <f>IFERROR(VLOOKUP($C63, merchants!$A$2:$D$41, 4, FALSE), "Merchant not found")</f>
        <v>East</v>
      </c>
      <c r="F63" t="str">
        <f>IFERROR(VLOOKUP($C63, merchants!$A$2:$D$41, 3, FALSE), "Merchant not found")</f>
        <v>grocery</v>
      </c>
      <c r="G63" s="1">
        <v>46042.159722222219</v>
      </c>
      <c r="H63" s="4">
        <f t="shared" si="0"/>
        <v>46042</v>
      </c>
      <c r="I63">
        <v>99</v>
      </c>
      <c r="J63" s="2" t="s">
        <v>9</v>
      </c>
      <c r="K63" s="2" t="s">
        <v>10</v>
      </c>
      <c r="L63">
        <v>44</v>
      </c>
      <c r="M63">
        <f>IF(COUNTIFS($D$2:$D63, $D63, $H$2:$H63, $H63)=1, 1, 0)</f>
        <v>1</v>
      </c>
      <c r="N63">
        <f>_xlfn.IFNA(HLOOKUP($J63, fee_reference!$B$1:$E$2, 2, FALSE), 0)</f>
        <v>1.4999999999999999E-2</v>
      </c>
    </row>
    <row r="64" spans="1:14" x14ac:dyDescent="0.3">
      <c r="A64" s="2" t="s">
        <v>77</v>
      </c>
      <c r="B64">
        <v>190</v>
      </c>
      <c r="C64">
        <v>5</v>
      </c>
      <c r="D64" t="str">
        <f>IFERROR(VLOOKUP($C64,merchants!$A$2:$D$41,2,FALSE),"Merchant not found")</f>
        <v>Merchant_005</v>
      </c>
      <c r="E64" t="str">
        <f>IFERROR(VLOOKUP($C64, merchants!$A$2:$D$41, 4, FALSE), "Merchant not found")</f>
        <v>South</v>
      </c>
      <c r="F64" t="str">
        <f>IFERROR(VLOOKUP($C64, merchants!$A$2:$D$41, 3, FALSE), "Merchant not found")</f>
        <v>recharge</v>
      </c>
      <c r="G64" s="1">
        <v>46040.570833333331</v>
      </c>
      <c r="H64" s="4">
        <f t="shared" si="0"/>
        <v>46040</v>
      </c>
      <c r="I64">
        <v>299</v>
      </c>
      <c r="J64" s="2" t="s">
        <v>12</v>
      </c>
      <c r="K64" s="2" t="s">
        <v>10</v>
      </c>
      <c r="L64">
        <v>64</v>
      </c>
      <c r="M64">
        <f>IF(COUNTIFS($D$2:$D64, $D64, $H$2:$H64, $H64)=1, 1, 0)</f>
        <v>1</v>
      </c>
      <c r="N64">
        <f>_xlfn.IFNA(HLOOKUP($J64, fee_reference!$B$1:$E$2, 2, FALSE), 0)</f>
        <v>0</v>
      </c>
    </row>
    <row r="65" spans="1:14" x14ac:dyDescent="0.3">
      <c r="A65" s="2" t="s">
        <v>78</v>
      </c>
      <c r="B65">
        <v>216</v>
      </c>
      <c r="C65">
        <v>32</v>
      </c>
      <c r="D65" t="str">
        <f>IFERROR(VLOOKUP($C65,merchants!$A$2:$D$41,2,FALSE),"Merchant not found")</f>
        <v>Merchant_032</v>
      </c>
      <c r="E65" t="str">
        <f>IFERROR(VLOOKUP($C65, merchants!$A$2:$D$41, 4, FALSE), "Merchant not found")</f>
        <v>West</v>
      </c>
      <c r="F65" t="str">
        <f>IFERROR(VLOOKUP($C65, merchants!$A$2:$D$41, 3, FALSE), "Merchant not found")</f>
        <v>food_delivery</v>
      </c>
      <c r="G65" s="1">
        <v>46043.416666666664</v>
      </c>
      <c r="H65" s="4">
        <f t="shared" si="0"/>
        <v>46043</v>
      </c>
      <c r="I65">
        <v>49</v>
      </c>
      <c r="J65" s="2" t="s">
        <v>24</v>
      </c>
      <c r="K65" s="2" t="s">
        <v>10</v>
      </c>
      <c r="L65">
        <v>13</v>
      </c>
      <c r="M65">
        <f>IF(COUNTIFS($D$2:$D65, $D65, $H$2:$H65, $H65)=1, 1, 0)</f>
        <v>1</v>
      </c>
      <c r="N65">
        <f>_xlfn.IFNA(HLOOKUP($J65, fee_reference!$B$1:$E$2, 2, FALSE), 0)</f>
        <v>2.5000000000000001E-2</v>
      </c>
    </row>
    <row r="66" spans="1:14" x14ac:dyDescent="0.3">
      <c r="A66" s="2" t="s">
        <v>79</v>
      </c>
      <c r="B66">
        <v>236</v>
      </c>
      <c r="C66">
        <v>10</v>
      </c>
      <c r="D66" t="str">
        <f>IFERROR(VLOOKUP($C66,merchants!$A$2:$D$41,2,FALSE),"Merchant not found")</f>
        <v>Merchant_010</v>
      </c>
      <c r="E66" t="str">
        <f>IFERROR(VLOOKUP($C66, merchants!$A$2:$D$41, 4, FALSE), "Merchant not found")</f>
        <v>West</v>
      </c>
      <c r="F66" t="str">
        <f>IFERROR(VLOOKUP($C66, merchants!$A$2:$D$41, 3, FALSE), "Merchant not found")</f>
        <v>grocery</v>
      </c>
      <c r="G66" s="1">
        <v>46036.486111111109</v>
      </c>
      <c r="H66" s="4">
        <f t="shared" ref="H66:H129" si="1">INT(G66)</f>
        <v>46036</v>
      </c>
      <c r="I66">
        <v>499</v>
      </c>
      <c r="J66" s="2" t="s">
        <v>12</v>
      </c>
      <c r="K66" s="2" t="s">
        <v>10</v>
      </c>
      <c r="L66">
        <v>55</v>
      </c>
      <c r="M66">
        <f>IF(COUNTIFS($D$2:$D66, $D66, $H$2:$H66, $H66)=1, 1, 0)</f>
        <v>1</v>
      </c>
      <c r="N66">
        <f>_xlfn.IFNA(HLOOKUP($J66, fee_reference!$B$1:$E$2, 2, FALSE), 0)</f>
        <v>0</v>
      </c>
    </row>
    <row r="67" spans="1:14" x14ac:dyDescent="0.3">
      <c r="A67" s="2" t="s">
        <v>80</v>
      </c>
      <c r="B67">
        <v>334</v>
      </c>
      <c r="C67">
        <v>18</v>
      </c>
      <c r="D67" t="str">
        <f>IFERROR(VLOOKUP($C67,merchants!$A$2:$D$41,2,FALSE),"Merchant not found")</f>
        <v>Merchant_018</v>
      </c>
      <c r="E67" t="str">
        <f>IFERROR(VLOOKUP($C67, merchants!$A$2:$D$41, 4, FALSE), "Merchant not found")</f>
        <v>West</v>
      </c>
      <c r="F67" t="str">
        <f>IFERROR(VLOOKUP($C67, merchants!$A$2:$D$41, 3, FALSE), "Merchant not found")</f>
        <v>grocery</v>
      </c>
      <c r="G67" s="1">
        <v>46028.981249999997</v>
      </c>
      <c r="H67" s="4">
        <f t="shared" si="1"/>
        <v>46028</v>
      </c>
      <c r="I67">
        <v>499</v>
      </c>
      <c r="J67" s="2" t="s">
        <v>24</v>
      </c>
      <c r="K67" s="2" t="s">
        <v>10</v>
      </c>
      <c r="L67">
        <v>78</v>
      </c>
      <c r="M67">
        <f>IF(COUNTIFS($D$2:$D67, $D67, $H$2:$H67, $H67)=1, 1, 0)</f>
        <v>1</v>
      </c>
      <c r="N67">
        <f>_xlfn.IFNA(HLOOKUP($J67, fee_reference!$B$1:$E$2, 2, FALSE), 0)</f>
        <v>2.5000000000000001E-2</v>
      </c>
    </row>
    <row r="68" spans="1:14" x14ac:dyDescent="0.3">
      <c r="A68" s="2" t="s">
        <v>81</v>
      </c>
      <c r="B68">
        <v>248</v>
      </c>
      <c r="C68">
        <v>30</v>
      </c>
      <c r="D68" t="str">
        <f>IFERROR(VLOOKUP($C68,merchants!$A$2:$D$41,2,FALSE),"Merchant not found")</f>
        <v>Merchant_030</v>
      </c>
      <c r="E68" t="str">
        <f>IFERROR(VLOOKUP($C68, merchants!$A$2:$D$41, 4, FALSE), "Merchant not found")</f>
        <v>West</v>
      </c>
      <c r="F68" t="str">
        <f>IFERROR(VLOOKUP($C68, merchants!$A$2:$D$41, 3, FALSE), "Merchant not found")</f>
        <v>travel</v>
      </c>
      <c r="G68" s="1">
        <v>46048.742361111108</v>
      </c>
      <c r="H68" s="4">
        <f t="shared" si="1"/>
        <v>46048</v>
      </c>
      <c r="I68">
        <v>799</v>
      </c>
      <c r="J68" s="2" t="s">
        <v>9</v>
      </c>
      <c r="K68" s="2" t="s">
        <v>10</v>
      </c>
      <c r="L68">
        <v>55</v>
      </c>
      <c r="M68">
        <f>IF(COUNTIFS($D$2:$D68, $D68, $H$2:$H68, $H68)=1, 1, 0)</f>
        <v>1</v>
      </c>
      <c r="N68">
        <f>_xlfn.IFNA(HLOOKUP($J68, fee_reference!$B$1:$E$2, 2, FALSE), 0)</f>
        <v>1.4999999999999999E-2</v>
      </c>
    </row>
    <row r="69" spans="1:14" x14ac:dyDescent="0.3">
      <c r="A69" s="2" t="s">
        <v>82</v>
      </c>
      <c r="B69">
        <v>138</v>
      </c>
      <c r="C69">
        <v>21</v>
      </c>
      <c r="D69" t="str">
        <f>IFERROR(VLOOKUP($C69,merchants!$A$2:$D$41,2,FALSE),"Merchant not found")</f>
        <v>Merchant_021</v>
      </c>
      <c r="E69" t="str">
        <f>IFERROR(VLOOKUP($C69, merchants!$A$2:$D$41, 4, FALSE), "Merchant not found")</f>
        <v>East</v>
      </c>
      <c r="F69" t="str">
        <f>IFERROR(VLOOKUP($C69, merchants!$A$2:$D$41, 3, FALSE), "Merchant not found")</f>
        <v>food_delivery</v>
      </c>
      <c r="G69" s="1">
        <v>46049.984027777777</v>
      </c>
      <c r="H69" s="4">
        <f t="shared" si="1"/>
        <v>46049</v>
      </c>
      <c r="I69">
        <v>49</v>
      </c>
      <c r="J69" s="2" t="s">
        <v>24</v>
      </c>
      <c r="K69" s="2" t="s">
        <v>10</v>
      </c>
      <c r="L69">
        <v>31</v>
      </c>
      <c r="M69">
        <f>IF(COUNTIFS($D$2:$D69, $D69, $H$2:$H69, $H69)=1, 1, 0)</f>
        <v>1</v>
      </c>
      <c r="N69">
        <f>_xlfn.IFNA(HLOOKUP($J69, fee_reference!$B$1:$E$2, 2, FALSE), 0)</f>
        <v>2.5000000000000001E-2</v>
      </c>
    </row>
    <row r="70" spans="1:14" x14ac:dyDescent="0.3">
      <c r="A70" s="2" t="s">
        <v>83</v>
      </c>
      <c r="B70">
        <v>231</v>
      </c>
      <c r="C70">
        <v>16</v>
      </c>
      <c r="D70" t="str">
        <f>IFERROR(VLOOKUP($C70,merchants!$A$2:$D$41,2,FALSE),"Merchant not found")</f>
        <v>Merchant_016</v>
      </c>
      <c r="E70" t="str">
        <f>IFERROR(VLOOKUP($C70, merchants!$A$2:$D$41, 4, FALSE), "Merchant not found")</f>
        <v>West</v>
      </c>
      <c r="F70" t="str">
        <f>IFERROR(VLOOKUP($C70, merchants!$A$2:$D$41, 3, FALSE), "Merchant not found")</f>
        <v>bill_payment</v>
      </c>
      <c r="G70" s="1">
        <v>46049.095138888886</v>
      </c>
      <c r="H70" s="4">
        <f t="shared" si="1"/>
        <v>46049</v>
      </c>
      <c r="I70">
        <v>49</v>
      </c>
      <c r="J70" s="2" t="s">
        <v>12</v>
      </c>
      <c r="K70" s="2" t="s">
        <v>10</v>
      </c>
      <c r="L70">
        <v>96</v>
      </c>
      <c r="M70">
        <f>IF(COUNTIFS($D$2:$D70, $D70, $H$2:$H70, $H70)=1, 1, 0)</f>
        <v>1</v>
      </c>
      <c r="N70">
        <f>_xlfn.IFNA(HLOOKUP($J70, fee_reference!$B$1:$E$2, 2, FALSE), 0)</f>
        <v>0</v>
      </c>
    </row>
    <row r="71" spans="1:14" x14ac:dyDescent="0.3">
      <c r="A71" s="2" t="s">
        <v>84</v>
      </c>
      <c r="B71">
        <v>343</v>
      </c>
      <c r="C71">
        <v>25</v>
      </c>
      <c r="D71" t="str">
        <f>IFERROR(VLOOKUP($C71,merchants!$A$2:$D$41,2,FALSE),"Merchant not found")</f>
        <v>Merchant_025</v>
      </c>
      <c r="E71" t="str">
        <f>IFERROR(VLOOKUP($C71, merchants!$A$2:$D$41, 4, FALSE), "Merchant not found")</f>
        <v>South</v>
      </c>
      <c r="F71" t="str">
        <f>IFERROR(VLOOKUP($C71, merchants!$A$2:$D$41, 3, FALSE), "Merchant not found")</f>
        <v>travel</v>
      </c>
      <c r="G71" s="1">
        <v>46037.777083333334</v>
      </c>
      <c r="H71" s="4">
        <f t="shared" si="1"/>
        <v>46037</v>
      </c>
      <c r="I71">
        <v>49</v>
      </c>
      <c r="J71" s="2" t="s">
        <v>12</v>
      </c>
      <c r="K71" s="2" t="s">
        <v>10</v>
      </c>
      <c r="L71">
        <v>43</v>
      </c>
      <c r="M71">
        <f>IF(COUNTIFS($D$2:$D71, $D71, $H$2:$H71, $H71)=1, 1, 0)</f>
        <v>1</v>
      </c>
      <c r="N71">
        <f>_xlfn.IFNA(HLOOKUP($J71, fee_reference!$B$1:$E$2, 2, FALSE), 0)</f>
        <v>0</v>
      </c>
    </row>
    <row r="72" spans="1:14" x14ac:dyDescent="0.3">
      <c r="A72" s="2" t="s">
        <v>85</v>
      </c>
      <c r="B72">
        <v>167</v>
      </c>
      <c r="C72">
        <v>12</v>
      </c>
      <c r="D72" t="str">
        <f>IFERROR(VLOOKUP($C72,merchants!$A$2:$D$41,2,FALSE),"Merchant not found")</f>
        <v>Merchant_012</v>
      </c>
      <c r="E72" t="str">
        <f>IFERROR(VLOOKUP($C72, merchants!$A$2:$D$41, 4, FALSE), "Merchant not found")</f>
        <v>East</v>
      </c>
      <c r="F72" t="str">
        <f>IFERROR(VLOOKUP($C72, merchants!$A$2:$D$41, 3, FALSE), "Merchant not found")</f>
        <v>ecommerce</v>
      </c>
      <c r="G72" s="1">
        <v>46023.662499999999</v>
      </c>
      <c r="H72" s="4">
        <f t="shared" si="1"/>
        <v>46023</v>
      </c>
      <c r="I72">
        <v>499</v>
      </c>
      <c r="J72" s="2" t="s">
        <v>9</v>
      </c>
      <c r="K72" s="2" t="s">
        <v>10</v>
      </c>
      <c r="L72">
        <v>62</v>
      </c>
      <c r="M72">
        <f>IF(COUNTIFS($D$2:$D72, $D72, $H$2:$H72, $H72)=1, 1, 0)</f>
        <v>0</v>
      </c>
      <c r="N72">
        <f>_xlfn.IFNA(HLOOKUP($J72, fee_reference!$B$1:$E$2, 2, FALSE), 0)</f>
        <v>1.4999999999999999E-2</v>
      </c>
    </row>
    <row r="73" spans="1:14" x14ac:dyDescent="0.3">
      <c r="A73" s="2" t="s">
        <v>86</v>
      </c>
      <c r="B73">
        <v>133</v>
      </c>
      <c r="C73">
        <v>22</v>
      </c>
      <c r="D73" t="str">
        <f>IFERROR(VLOOKUP($C73,merchants!$A$2:$D$41,2,FALSE),"Merchant not found")</f>
        <v>Merchant_022</v>
      </c>
      <c r="E73" t="str">
        <f>IFERROR(VLOOKUP($C73, merchants!$A$2:$D$41, 4, FALSE), "Merchant not found")</f>
        <v>South</v>
      </c>
      <c r="F73" t="str">
        <f>IFERROR(VLOOKUP($C73, merchants!$A$2:$D$41, 3, FALSE), "Merchant not found")</f>
        <v>travel</v>
      </c>
      <c r="G73" s="1">
        <v>46029.493750000001</v>
      </c>
      <c r="H73" s="4">
        <f t="shared" si="1"/>
        <v>46029</v>
      </c>
      <c r="I73">
        <v>499</v>
      </c>
      <c r="J73" s="2" t="s">
        <v>12</v>
      </c>
      <c r="K73" s="2" t="s">
        <v>10</v>
      </c>
      <c r="L73">
        <v>35</v>
      </c>
      <c r="M73">
        <f>IF(COUNTIFS($D$2:$D73, $D73, $H$2:$H73, $H73)=1, 1, 0)</f>
        <v>1</v>
      </c>
      <c r="N73">
        <f>_xlfn.IFNA(HLOOKUP($J73, fee_reference!$B$1:$E$2, 2, FALSE), 0)</f>
        <v>0</v>
      </c>
    </row>
    <row r="74" spans="1:14" x14ac:dyDescent="0.3">
      <c r="A74" s="2" t="s">
        <v>87</v>
      </c>
      <c r="B74">
        <v>142</v>
      </c>
      <c r="C74">
        <v>36</v>
      </c>
      <c r="D74" t="str">
        <f>IFERROR(VLOOKUP($C74,merchants!$A$2:$D$41,2,FALSE),"Merchant not found")</f>
        <v>Merchant_036</v>
      </c>
      <c r="E74" t="str">
        <f>IFERROR(VLOOKUP($C74, merchants!$A$2:$D$41, 4, FALSE), "Merchant not found")</f>
        <v>East</v>
      </c>
      <c r="F74" t="str">
        <f>IFERROR(VLOOKUP($C74, merchants!$A$2:$D$41, 3, FALSE), "Merchant not found")</f>
        <v>entertainment</v>
      </c>
      <c r="G74" s="1">
        <v>46051.822222222225</v>
      </c>
      <c r="H74" s="4">
        <f t="shared" si="1"/>
        <v>46051</v>
      </c>
      <c r="I74">
        <v>799</v>
      </c>
      <c r="J74" s="2" t="s">
        <v>9</v>
      </c>
      <c r="K74" s="2" t="s">
        <v>10</v>
      </c>
      <c r="L74">
        <v>1</v>
      </c>
      <c r="M74">
        <f>IF(COUNTIFS($D$2:$D74, $D74, $H$2:$H74, $H74)=1, 1, 0)</f>
        <v>1</v>
      </c>
      <c r="N74">
        <f>_xlfn.IFNA(HLOOKUP($J74, fee_reference!$B$1:$E$2, 2, FALSE), 0)</f>
        <v>1.4999999999999999E-2</v>
      </c>
    </row>
    <row r="75" spans="1:14" x14ac:dyDescent="0.3">
      <c r="A75" s="2" t="s">
        <v>88</v>
      </c>
      <c r="B75">
        <v>124</v>
      </c>
      <c r="C75">
        <v>27</v>
      </c>
      <c r="D75" t="str">
        <f>IFERROR(VLOOKUP($C75,merchants!$A$2:$D$41,2,FALSE),"Merchant not found")</f>
        <v>Merchant_027</v>
      </c>
      <c r="E75" t="str">
        <f>IFERROR(VLOOKUP($C75, merchants!$A$2:$D$41, 4, FALSE), "Merchant not found")</f>
        <v>North</v>
      </c>
      <c r="F75" t="str">
        <f>IFERROR(VLOOKUP($C75, merchants!$A$2:$D$41, 3, FALSE), "Merchant not found")</f>
        <v>ecommerce</v>
      </c>
      <c r="G75" s="1">
        <v>46039.253472222219</v>
      </c>
      <c r="H75" s="4">
        <f t="shared" si="1"/>
        <v>46039</v>
      </c>
      <c r="I75">
        <v>499</v>
      </c>
      <c r="J75" s="2" t="s">
        <v>9</v>
      </c>
      <c r="K75" s="2" t="s">
        <v>10</v>
      </c>
      <c r="L75">
        <v>62</v>
      </c>
      <c r="M75">
        <f>IF(COUNTIFS($D$2:$D75, $D75, $H$2:$H75, $H75)=1, 1, 0)</f>
        <v>1</v>
      </c>
      <c r="N75">
        <f>_xlfn.IFNA(HLOOKUP($J75, fee_reference!$B$1:$E$2, 2, FALSE), 0)</f>
        <v>1.4999999999999999E-2</v>
      </c>
    </row>
    <row r="76" spans="1:14" x14ac:dyDescent="0.3">
      <c r="A76" s="2" t="s">
        <v>89</v>
      </c>
      <c r="B76">
        <v>244</v>
      </c>
      <c r="C76">
        <v>32</v>
      </c>
      <c r="D76" t="str">
        <f>IFERROR(VLOOKUP($C76,merchants!$A$2:$D$41,2,FALSE),"Merchant not found")</f>
        <v>Merchant_032</v>
      </c>
      <c r="E76" t="str">
        <f>IFERROR(VLOOKUP($C76, merchants!$A$2:$D$41, 4, FALSE), "Merchant not found")</f>
        <v>West</v>
      </c>
      <c r="F76" t="str">
        <f>IFERROR(VLOOKUP($C76, merchants!$A$2:$D$41, 3, FALSE), "Merchant not found")</f>
        <v>food_delivery</v>
      </c>
      <c r="G76" s="1">
        <v>46040.322222222225</v>
      </c>
      <c r="H76" s="4">
        <f t="shared" si="1"/>
        <v>46040</v>
      </c>
      <c r="I76">
        <v>149</v>
      </c>
      <c r="J76" s="2" t="s">
        <v>12</v>
      </c>
      <c r="K76" s="2" t="s">
        <v>10</v>
      </c>
      <c r="L76">
        <v>57</v>
      </c>
      <c r="M76">
        <f>IF(COUNTIFS($D$2:$D76, $D76, $H$2:$H76, $H76)=1, 1, 0)</f>
        <v>1</v>
      </c>
      <c r="N76">
        <f>_xlfn.IFNA(HLOOKUP($J76, fee_reference!$B$1:$E$2, 2, FALSE), 0)</f>
        <v>0</v>
      </c>
    </row>
    <row r="77" spans="1:14" x14ac:dyDescent="0.3">
      <c r="A77" s="2" t="s">
        <v>90</v>
      </c>
      <c r="B77">
        <v>151</v>
      </c>
      <c r="C77">
        <v>15</v>
      </c>
      <c r="D77" t="str">
        <f>IFERROR(VLOOKUP($C77,merchants!$A$2:$D$41,2,FALSE),"Merchant not found")</f>
        <v>Merchant_015</v>
      </c>
      <c r="E77" t="str">
        <f>IFERROR(VLOOKUP($C77, merchants!$A$2:$D$41, 4, FALSE), "Merchant not found")</f>
        <v>North</v>
      </c>
      <c r="F77" t="str">
        <f>IFERROR(VLOOKUP($C77, merchants!$A$2:$D$41, 3, FALSE), "Merchant not found")</f>
        <v>travel</v>
      </c>
      <c r="G77" s="1">
        <v>46048.003472222219</v>
      </c>
      <c r="H77" s="4">
        <f t="shared" si="1"/>
        <v>46048</v>
      </c>
      <c r="I77">
        <v>4999</v>
      </c>
      <c r="J77" s="2" t="s">
        <v>12</v>
      </c>
      <c r="K77" s="2" t="s">
        <v>10</v>
      </c>
      <c r="L77">
        <v>51</v>
      </c>
      <c r="M77">
        <f>IF(COUNTIFS($D$2:$D77, $D77, $H$2:$H77, $H77)=1, 1, 0)</f>
        <v>1</v>
      </c>
      <c r="N77">
        <f>_xlfn.IFNA(HLOOKUP($J77, fee_reference!$B$1:$E$2, 2, FALSE), 0)</f>
        <v>0</v>
      </c>
    </row>
    <row r="78" spans="1:14" x14ac:dyDescent="0.3">
      <c r="A78" s="2" t="s">
        <v>91</v>
      </c>
      <c r="B78">
        <v>340</v>
      </c>
      <c r="C78">
        <v>38</v>
      </c>
      <c r="D78" t="str">
        <f>IFERROR(VLOOKUP($C78,merchants!$A$2:$D$41,2,FALSE),"Merchant not found")</f>
        <v>Merchant_038</v>
      </c>
      <c r="E78" t="str">
        <f>IFERROR(VLOOKUP($C78, merchants!$A$2:$D$41, 4, FALSE), "Merchant not found")</f>
        <v>East</v>
      </c>
      <c r="F78" t="str">
        <f>IFERROR(VLOOKUP($C78, merchants!$A$2:$D$41, 3, FALSE), "Merchant not found")</f>
        <v>grocery</v>
      </c>
      <c r="G78" s="1">
        <v>46045.304861111108</v>
      </c>
      <c r="H78" s="4">
        <f t="shared" si="1"/>
        <v>46045</v>
      </c>
      <c r="I78">
        <v>499</v>
      </c>
      <c r="J78" s="2" t="s">
        <v>24</v>
      </c>
      <c r="K78" s="2" t="s">
        <v>10</v>
      </c>
      <c r="L78">
        <v>47</v>
      </c>
      <c r="M78">
        <f>IF(COUNTIFS($D$2:$D78, $D78, $H$2:$H78, $H78)=1, 1, 0)</f>
        <v>1</v>
      </c>
      <c r="N78">
        <f>_xlfn.IFNA(HLOOKUP($J78, fee_reference!$B$1:$E$2, 2, FALSE), 0)</f>
        <v>2.5000000000000001E-2</v>
      </c>
    </row>
    <row r="79" spans="1:14" x14ac:dyDescent="0.3">
      <c r="A79" s="2" t="s">
        <v>92</v>
      </c>
      <c r="B79">
        <v>177</v>
      </c>
      <c r="C79">
        <v>28</v>
      </c>
      <c r="D79" t="str">
        <f>IFERROR(VLOOKUP($C79,merchants!$A$2:$D$41,2,FALSE),"Merchant not found")</f>
        <v>Merchant_028</v>
      </c>
      <c r="E79" t="str">
        <f>IFERROR(VLOOKUP($C79, merchants!$A$2:$D$41, 4, FALSE), "Merchant not found")</f>
        <v>South</v>
      </c>
      <c r="F79" t="str">
        <f>IFERROR(VLOOKUP($C79, merchants!$A$2:$D$41, 3, FALSE), "Merchant not found")</f>
        <v>ecommerce</v>
      </c>
      <c r="G79" s="1">
        <v>46038.731249999997</v>
      </c>
      <c r="H79" s="4">
        <f t="shared" si="1"/>
        <v>46038</v>
      </c>
      <c r="I79">
        <v>299</v>
      </c>
      <c r="J79" s="2" t="s">
        <v>12</v>
      </c>
      <c r="K79" s="2" t="s">
        <v>10</v>
      </c>
      <c r="L79">
        <v>95</v>
      </c>
      <c r="M79">
        <f>IF(COUNTIFS($D$2:$D79, $D79, $H$2:$H79, $H79)=1, 1, 0)</f>
        <v>1</v>
      </c>
      <c r="N79">
        <f>_xlfn.IFNA(HLOOKUP($J79, fee_reference!$B$1:$E$2, 2, FALSE), 0)</f>
        <v>0</v>
      </c>
    </row>
    <row r="80" spans="1:14" x14ac:dyDescent="0.3">
      <c r="A80" s="2" t="s">
        <v>93</v>
      </c>
      <c r="B80">
        <v>233</v>
      </c>
      <c r="C80">
        <v>18</v>
      </c>
      <c r="D80" t="str">
        <f>IFERROR(VLOOKUP($C80,merchants!$A$2:$D$41,2,FALSE),"Merchant not found")</f>
        <v>Merchant_018</v>
      </c>
      <c r="E80" t="str">
        <f>IFERROR(VLOOKUP($C80, merchants!$A$2:$D$41, 4, FALSE), "Merchant not found")</f>
        <v>West</v>
      </c>
      <c r="F80" t="str">
        <f>IFERROR(VLOOKUP($C80, merchants!$A$2:$D$41, 3, FALSE), "Merchant not found")</f>
        <v>grocery</v>
      </c>
      <c r="G80" s="1">
        <v>46040.431944444441</v>
      </c>
      <c r="H80" s="4">
        <f t="shared" si="1"/>
        <v>46040</v>
      </c>
      <c r="I80">
        <v>499</v>
      </c>
      <c r="J80" s="2" t="s">
        <v>12</v>
      </c>
      <c r="K80" s="2" t="s">
        <v>10</v>
      </c>
      <c r="L80">
        <v>39</v>
      </c>
      <c r="M80">
        <f>IF(COUNTIFS($D$2:$D80, $D80, $H$2:$H80, $H80)=1, 1, 0)</f>
        <v>1</v>
      </c>
      <c r="N80">
        <f>_xlfn.IFNA(HLOOKUP($J80, fee_reference!$B$1:$E$2, 2, FALSE), 0)</f>
        <v>0</v>
      </c>
    </row>
    <row r="81" spans="1:14" x14ac:dyDescent="0.3">
      <c r="A81" s="2" t="s">
        <v>94</v>
      </c>
      <c r="B81">
        <v>99</v>
      </c>
      <c r="C81">
        <v>21</v>
      </c>
      <c r="D81" t="str">
        <f>IFERROR(VLOOKUP($C81,merchants!$A$2:$D$41,2,FALSE),"Merchant not found")</f>
        <v>Merchant_021</v>
      </c>
      <c r="E81" t="str">
        <f>IFERROR(VLOOKUP($C81, merchants!$A$2:$D$41, 4, FALSE), "Merchant not found")</f>
        <v>East</v>
      </c>
      <c r="F81" t="str">
        <f>IFERROR(VLOOKUP($C81, merchants!$A$2:$D$41, 3, FALSE), "Merchant not found")</f>
        <v>food_delivery</v>
      </c>
      <c r="G81" s="1">
        <v>46031.296527777777</v>
      </c>
      <c r="H81" s="4">
        <f t="shared" si="1"/>
        <v>46031</v>
      </c>
      <c r="I81">
        <v>499</v>
      </c>
      <c r="J81" s="2" t="s">
        <v>12</v>
      </c>
      <c r="K81" s="2" t="s">
        <v>10</v>
      </c>
      <c r="L81">
        <v>15</v>
      </c>
      <c r="M81">
        <f>IF(COUNTIFS($D$2:$D81, $D81, $H$2:$H81, $H81)=1, 1, 0)</f>
        <v>1</v>
      </c>
      <c r="N81">
        <f>_xlfn.IFNA(HLOOKUP($J81, fee_reference!$B$1:$E$2, 2, FALSE), 0)</f>
        <v>0</v>
      </c>
    </row>
    <row r="82" spans="1:14" x14ac:dyDescent="0.3">
      <c r="A82" s="2" t="s">
        <v>95</v>
      </c>
      <c r="B82">
        <v>95</v>
      </c>
      <c r="C82">
        <v>13</v>
      </c>
      <c r="D82" t="str">
        <f>IFERROR(VLOOKUP($C82,merchants!$A$2:$D$41,2,FALSE),"Merchant not found")</f>
        <v>Merchant_013</v>
      </c>
      <c r="E82" t="str">
        <f>IFERROR(VLOOKUP($C82, merchants!$A$2:$D$41, 4, FALSE), "Merchant not found")</f>
        <v>East</v>
      </c>
      <c r="F82" t="str">
        <f>IFERROR(VLOOKUP($C82, merchants!$A$2:$D$41, 3, FALSE), "Merchant not found")</f>
        <v>travel</v>
      </c>
      <c r="G82" s="1">
        <v>46046.741666666669</v>
      </c>
      <c r="H82" s="4">
        <f t="shared" si="1"/>
        <v>46046</v>
      </c>
      <c r="I82">
        <v>2999</v>
      </c>
      <c r="J82" s="2" t="s">
        <v>15</v>
      </c>
      <c r="K82" s="2" t="s">
        <v>25</v>
      </c>
      <c r="L82">
        <v>27</v>
      </c>
      <c r="M82">
        <f>IF(COUNTIFS($D$2:$D82, $D82, $H$2:$H82, $H82)=1, 1, 0)</f>
        <v>1</v>
      </c>
      <c r="N82">
        <f>_xlfn.IFNA(HLOOKUP($J82, fee_reference!$B$1:$E$2, 2, FALSE), 0)</f>
        <v>0.01</v>
      </c>
    </row>
    <row r="83" spans="1:14" x14ac:dyDescent="0.3">
      <c r="A83" s="2" t="s">
        <v>96</v>
      </c>
      <c r="B83">
        <v>302</v>
      </c>
      <c r="C83">
        <v>34</v>
      </c>
      <c r="D83" t="str">
        <f>IFERROR(VLOOKUP($C83,merchants!$A$2:$D$41,2,FALSE),"Merchant not found")</f>
        <v>Merchant_034</v>
      </c>
      <c r="E83" t="str">
        <f>IFERROR(VLOOKUP($C83, merchants!$A$2:$D$41, 4, FALSE), "Merchant not found")</f>
        <v>South</v>
      </c>
      <c r="F83" t="str">
        <f>IFERROR(VLOOKUP($C83, merchants!$A$2:$D$41, 3, FALSE), "Merchant not found")</f>
        <v>travel</v>
      </c>
      <c r="G83" s="1">
        <v>46046.636805555558</v>
      </c>
      <c r="H83" s="4">
        <f t="shared" si="1"/>
        <v>46046</v>
      </c>
      <c r="I83">
        <v>49</v>
      </c>
      <c r="J83" s="2" t="s">
        <v>15</v>
      </c>
      <c r="K83" s="2" t="s">
        <v>10</v>
      </c>
      <c r="L83">
        <v>76</v>
      </c>
      <c r="M83">
        <f>IF(COUNTIFS($D$2:$D83, $D83, $H$2:$H83, $H83)=1, 1, 0)</f>
        <v>1</v>
      </c>
      <c r="N83">
        <f>_xlfn.IFNA(HLOOKUP($J83, fee_reference!$B$1:$E$2, 2, FALSE), 0)</f>
        <v>0.01</v>
      </c>
    </row>
    <row r="84" spans="1:14" x14ac:dyDescent="0.3">
      <c r="A84" s="2" t="s">
        <v>97</v>
      </c>
      <c r="B84">
        <v>100</v>
      </c>
      <c r="C84">
        <v>19</v>
      </c>
      <c r="D84" t="str">
        <f>IFERROR(VLOOKUP($C84,merchants!$A$2:$D$41,2,FALSE),"Merchant not found")</f>
        <v>Merchant_019</v>
      </c>
      <c r="E84" t="str">
        <f>IFERROR(VLOOKUP($C84, merchants!$A$2:$D$41, 4, FALSE), "Merchant not found")</f>
        <v>North</v>
      </c>
      <c r="F84" t="str">
        <f>IFERROR(VLOOKUP($C84, merchants!$A$2:$D$41, 3, FALSE), "Merchant not found")</f>
        <v>grocery</v>
      </c>
      <c r="G84" s="1">
        <v>46032.161805555559</v>
      </c>
      <c r="H84" s="4">
        <f t="shared" si="1"/>
        <v>46032</v>
      </c>
      <c r="I84">
        <v>2999</v>
      </c>
      <c r="J84" s="2" t="s">
        <v>15</v>
      </c>
      <c r="K84" s="2" t="s">
        <v>10</v>
      </c>
      <c r="L84">
        <v>29</v>
      </c>
      <c r="M84">
        <f>IF(COUNTIFS($D$2:$D84, $D84, $H$2:$H84, $H84)=1, 1, 0)</f>
        <v>1</v>
      </c>
      <c r="N84">
        <f>_xlfn.IFNA(HLOOKUP($J84, fee_reference!$B$1:$E$2, 2, FALSE), 0)</f>
        <v>0.01</v>
      </c>
    </row>
    <row r="85" spans="1:14" x14ac:dyDescent="0.3">
      <c r="A85" s="2" t="s">
        <v>98</v>
      </c>
      <c r="B85">
        <v>8</v>
      </c>
      <c r="C85">
        <v>35</v>
      </c>
      <c r="D85" t="str">
        <f>IFERROR(VLOOKUP($C85,merchants!$A$2:$D$41,2,FALSE),"Merchant not found")</f>
        <v>Merchant_035</v>
      </c>
      <c r="E85" t="str">
        <f>IFERROR(VLOOKUP($C85, merchants!$A$2:$D$41, 4, FALSE), "Merchant not found")</f>
        <v>East</v>
      </c>
      <c r="F85" t="str">
        <f>IFERROR(VLOOKUP($C85, merchants!$A$2:$D$41, 3, FALSE), "Merchant not found")</f>
        <v>recharge</v>
      </c>
      <c r="G85" s="1">
        <v>46034.22152777778</v>
      </c>
      <c r="H85" s="4">
        <f t="shared" si="1"/>
        <v>46034</v>
      </c>
      <c r="I85">
        <v>99</v>
      </c>
      <c r="J85" s="2" t="s">
        <v>12</v>
      </c>
      <c r="K85" s="2" t="s">
        <v>10</v>
      </c>
      <c r="L85">
        <v>16</v>
      </c>
      <c r="M85">
        <f>IF(COUNTIFS($D$2:$D85, $D85, $H$2:$H85, $H85)=1, 1, 0)</f>
        <v>1</v>
      </c>
      <c r="N85">
        <f>_xlfn.IFNA(HLOOKUP($J85, fee_reference!$B$1:$E$2, 2, FALSE), 0)</f>
        <v>0</v>
      </c>
    </row>
    <row r="86" spans="1:14" x14ac:dyDescent="0.3">
      <c r="A86" s="2" t="s">
        <v>99</v>
      </c>
      <c r="B86">
        <v>284</v>
      </c>
      <c r="C86">
        <v>19</v>
      </c>
      <c r="D86" t="str">
        <f>IFERROR(VLOOKUP($C86,merchants!$A$2:$D$41,2,FALSE),"Merchant not found")</f>
        <v>Merchant_019</v>
      </c>
      <c r="E86" t="str">
        <f>IFERROR(VLOOKUP($C86, merchants!$A$2:$D$41, 4, FALSE), "Merchant not found")</f>
        <v>North</v>
      </c>
      <c r="F86" t="str">
        <f>IFERROR(VLOOKUP($C86, merchants!$A$2:$D$41, 3, FALSE), "Merchant not found")</f>
        <v>grocery</v>
      </c>
      <c r="G86" s="1">
        <v>46031.043749999997</v>
      </c>
      <c r="H86" s="4">
        <f t="shared" si="1"/>
        <v>46031</v>
      </c>
      <c r="I86">
        <v>99</v>
      </c>
      <c r="J86" s="2" t="s">
        <v>12</v>
      </c>
      <c r="K86" s="2" t="s">
        <v>10</v>
      </c>
      <c r="L86">
        <v>89</v>
      </c>
      <c r="M86">
        <f>IF(COUNTIFS($D$2:$D86, $D86, $H$2:$H86, $H86)=1, 1, 0)</f>
        <v>1</v>
      </c>
      <c r="N86">
        <f>_xlfn.IFNA(HLOOKUP($J86, fee_reference!$B$1:$E$2, 2, FALSE), 0)</f>
        <v>0</v>
      </c>
    </row>
    <row r="87" spans="1:14" x14ac:dyDescent="0.3">
      <c r="A87" s="2" t="s">
        <v>100</v>
      </c>
      <c r="B87">
        <v>252</v>
      </c>
      <c r="C87">
        <v>7</v>
      </c>
      <c r="D87" t="str">
        <f>IFERROR(VLOOKUP($C87,merchants!$A$2:$D$41,2,FALSE),"Merchant not found")</f>
        <v>Merchant_007</v>
      </c>
      <c r="E87" t="str">
        <f>IFERROR(VLOOKUP($C87, merchants!$A$2:$D$41, 4, FALSE), "Merchant not found")</f>
        <v>East</v>
      </c>
      <c r="F87" t="str">
        <f>IFERROR(VLOOKUP($C87, merchants!$A$2:$D$41, 3, FALSE), "Merchant not found")</f>
        <v>food_delivery</v>
      </c>
      <c r="G87" s="1">
        <v>46027.871527777781</v>
      </c>
      <c r="H87" s="4">
        <f t="shared" si="1"/>
        <v>46027</v>
      </c>
      <c r="I87">
        <v>2999</v>
      </c>
      <c r="J87" s="2" t="s">
        <v>9</v>
      </c>
      <c r="K87" s="2" t="s">
        <v>10</v>
      </c>
      <c r="L87">
        <v>1</v>
      </c>
      <c r="M87">
        <f>IF(COUNTIFS($D$2:$D87, $D87, $H$2:$H87, $H87)=1, 1, 0)</f>
        <v>0</v>
      </c>
      <c r="N87">
        <f>_xlfn.IFNA(HLOOKUP($J87, fee_reference!$B$1:$E$2, 2, FALSE), 0)</f>
        <v>1.4999999999999999E-2</v>
      </c>
    </row>
    <row r="88" spans="1:14" x14ac:dyDescent="0.3">
      <c r="A88" s="2" t="s">
        <v>101</v>
      </c>
      <c r="B88">
        <v>246</v>
      </c>
      <c r="C88">
        <v>29</v>
      </c>
      <c r="D88" t="str">
        <f>IFERROR(VLOOKUP($C88,merchants!$A$2:$D$41,2,FALSE),"Merchant not found")</f>
        <v>Merchant_029</v>
      </c>
      <c r="E88" t="str">
        <f>IFERROR(VLOOKUP($C88, merchants!$A$2:$D$41, 4, FALSE), "Merchant not found")</f>
        <v>North</v>
      </c>
      <c r="F88" t="str">
        <f>IFERROR(VLOOKUP($C88, merchants!$A$2:$D$41, 3, FALSE), "Merchant not found")</f>
        <v>ecommerce</v>
      </c>
      <c r="G88" s="1">
        <v>46041.395833333336</v>
      </c>
      <c r="H88" s="4">
        <f t="shared" si="1"/>
        <v>46041</v>
      </c>
      <c r="I88">
        <v>49</v>
      </c>
      <c r="J88" s="2" t="s">
        <v>9</v>
      </c>
      <c r="K88" s="2" t="s">
        <v>10</v>
      </c>
      <c r="L88">
        <v>43</v>
      </c>
      <c r="M88">
        <f>IF(COUNTIFS($D$2:$D88, $D88, $H$2:$H88, $H88)=1, 1, 0)</f>
        <v>1</v>
      </c>
      <c r="N88">
        <f>_xlfn.IFNA(HLOOKUP($J88, fee_reference!$B$1:$E$2, 2, FALSE), 0)</f>
        <v>1.4999999999999999E-2</v>
      </c>
    </row>
    <row r="89" spans="1:14" x14ac:dyDescent="0.3">
      <c r="A89" s="2" t="s">
        <v>102</v>
      </c>
      <c r="B89">
        <v>245</v>
      </c>
      <c r="C89">
        <v>8</v>
      </c>
      <c r="D89" t="str">
        <f>IFERROR(VLOOKUP($C89,merchants!$A$2:$D$41,2,FALSE),"Merchant not found")</f>
        <v>Merchant_008</v>
      </c>
      <c r="E89" t="str">
        <f>IFERROR(VLOOKUP($C89, merchants!$A$2:$D$41, 4, FALSE), "Merchant not found")</f>
        <v>North</v>
      </c>
      <c r="F89" t="str">
        <f>IFERROR(VLOOKUP($C89, merchants!$A$2:$D$41, 3, FALSE), "Merchant not found")</f>
        <v>food_delivery</v>
      </c>
      <c r="G89" s="1">
        <v>46028.052777777775</v>
      </c>
      <c r="H89" s="4">
        <f t="shared" si="1"/>
        <v>46028</v>
      </c>
      <c r="I89">
        <v>49</v>
      </c>
      <c r="J89" s="2" t="s">
        <v>12</v>
      </c>
      <c r="K89" s="2" t="s">
        <v>38</v>
      </c>
      <c r="L89">
        <v>8</v>
      </c>
      <c r="M89">
        <f>IF(COUNTIFS($D$2:$D89, $D89, $H$2:$H89, $H89)=1, 1, 0)</f>
        <v>1</v>
      </c>
      <c r="N89">
        <f>_xlfn.IFNA(HLOOKUP($J89, fee_reference!$B$1:$E$2, 2, FALSE), 0)</f>
        <v>0</v>
      </c>
    </row>
    <row r="90" spans="1:14" x14ac:dyDescent="0.3">
      <c r="A90" s="2" t="s">
        <v>103</v>
      </c>
      <c r="B90">
        <v>296</v>
      </c>
      <c r="C90">
        <v>4</v>
      </c>
      <c r="D90" t="str">
        <f>IFERROR(VLOOKUP($C90,merchants!$A$2:$D$41,2,FALSE),"Merchant not found")</f>
        <v>Merchant_004</v>
      </c>
      <c r="E90" t="str">
        <f>IFERROR(VLOOKUP($C90, merchants!$A$2:$D$41, 4, FALSE), "Merchant not found")</f>
        <v>East</v>
      </c>
      <c r="F90" t="str">
        <f>IFERROR(VLOOKUP($C90, merchants!$A$2:$D$41, 3, FALSE), "Merchant not found")</f>
        <v>ecommerce</v>
      </c>
      <c r="G90" s="1">
        <v>46035.62777777778</v>
      </c>
      <c r="H90" s="4">
        <f t="shared" si="1"/>
        <v>46035</v>
      </c>
      <c r="I90">
        <v>799</v>
      </c>
      <c r="J90" s="2" t="s">
        <v>9</v>
      </c>
      <c r="K90" s="2" t="s">
        <v>10</v>
      </c>
      <c r="L90">
        <v>19</v>
      </c>
      <c r="M90">
        <f>IF(COUNTIFS($D$2:$D90, $D90, $H$2:$H90, $H90)=1, 1, 0)</f>
        <v>1</v>
      </c>
      <c r="N90">
        <f>_xlfn.IFNA(HLOOKUP($J90, fee_reference!$B$1:$E$2, 2, FALSE), 0)</f>
        <v>1.4999999999999999E-2</v>
      </c>
    </row>
    <row r="91" spans="1:14" x14ac:dyDescent="0.3">
      <c r="A91" s="2" t="s">
        <v>104</v>
      </c>
      <c r="B91">
        <v>44</v>
      </c>
      <c r="C91">
        <v>16</v>
      </c>
      <c r="D91" t="str">
        <f>IFERROR(VLOOKUP($C91,merchants!$A$2:$D$41,2,FALSE),"Merchant not found")</f>
        <v>Merchant_016</v>
      </c>
      <c r="E91" t="str">
        <f>IFERROR(VLOOKUP($C91, merchants!$A$2:$D$41, 4, FALSE), "Merchant not found")</f>
        <v>West</v>
      </c>
      <c r="F91" t="str">
        <f>IFERROR(VLOOKUP($C91, merchants!$A$2:$D$41, 3, FALSE), "Merchant not found")</f>
        <v>bill_payment</v>
      </c>
      <c r="G91" s="1">
        <v>46027.763194444444</v>
      </c>
      <c r="H91" s="4">
        <f t="shared" si="1"/>
        <v>46027</v>
      </c>
      <c r="I91">
        <v>149</v>
      </c>
      <c r="J91" s="2" t="s">
        <v>12</v>
      </c>
      <c r="K91" s="2" t="s">
        <v>10</v>
      </c>
      <c r="L91">
        <v>15</v>
      </c>
      <c r="M91">
        <f>IF(COUNTIFS($D$2:$D91, $D91, $H$2:$H91, $H91)=1, 1, 0)</f>
        <v>1</v>
      </c>
      <c r="N91">
        <f>_xlfn.IFNA(HLOOKUP($J91, fee_reference!$B$1:$E$2, 2, FALSE), 0)</f>
        <v>0</v>
      </c>
    </row>
    <row r="92" spans="1:14" x14ac:dyDescent="0.3">
      <c r="A92" s="2" t="s">
        <v>105</v>
      </c>
      <c r="B92">
        <v>306</v>
      </c>
      <c r="C92">
        <v>40</v>
      </c>
      <c r="D92" t="str">
        <f>IFERROR(VLOOKUP($C92,merchants!$A$2:$D$41,2,FALSE),"Merchant not found")</f>
        <v>Merchant_040</v>
      </c>
      <c r="E92" t="str">
        <f>IFERROR(VLOOKUP($C92, merchants!$A$2:$D$41, 4, FALSE), "Merchant not found")</f>
        <v>South</v>
      </c>
      <c r="F92" t="str">
        <f>IFERROR(VLOOKUP($C92, merchants!$A$2:$D$41, 3, FALSE), "Merchant not found")</f>
        <v>entertainment</v>
      </c>
      <c r="G92" s="1">
        <v>46040.568055555559</v>
      </c>
      <c r="H92" s="4">
        <f t="shared" si="1"/>
        <v>46040</v>
      </c>
      <c r="I92">
        <v>799</v>
      </c>
      <c r="J92" s="2" t="s">
        <v>24</v>
      </c>
      <c r="K92" s="2" t="s">
        <v>10</v>
      </c>
      <c r="L92">
        <v>28</v>
      </c>
      <c r="M92">
        <f>IF(COUNTIFS($D$2:$D92, $D92, $H$2:$H92, $H92)=1, 1, 0)</f>
        <v>1</v>
      </c>
      <c r="N92">
        <f>_xlfn.IFNA(HLOOKUP($J92, fee_reference!$B$1:$E$2, 2, FALSE), 0)</f>
        <v>2.5000000000000001E-2</v>
      </c>
    </row>
    <row r="93" spans="1:14" x14ac:dyDescent="0.3">
      <c r="A93" s="2" t="s">
        <v>106</v>
      </c>
      <c r="B93">
        <v>231</v>
      </c>
      <c r="C93">
        <v>29</v>
      </c>
      <c r="D93" t="str">
        <f>IFERROR(VLOOKUP($C93,merchants!$A$2:$D$41,2,FALSE),"Merchant not found")</f>
        <v>Merchant_029</v>
      </c>
      <c r="E93" t="str">
        <f>IFERROR(VLOOKUP($C93, merchants!$A$2:$D$41, 4, FALSE), "Merchant not found")</f>
        <v>North</v>
      </c>
      <c r="F93" t="str">
        <f>IFERROR(VLOOKUP($C93, merchants!$A$2:$D$41, 3, FALSE), "Merchant not found")</f>
        <v>ecommerce</v>
      </c>
      <c r="G93" s="1">
        <v>46047.683333333334</v>
      </c>
      <c r="H93" s="4">
        <f t="shared" si="1"/>
        <v>46047</v>
      </c>
      <c r="I93">
        <v>299</v>
      </c>
      <c r="J93" s="2" t="s">
        <v>12</v>
      </c>
      <c r="K93" s="2" t="s">
        <v>10</v>
      </c>
      <c r="L93">
        <v>38</v>
      </c>
      <c r="M93">
        <f>IF(COUNTIFS($D$2:$D93, $D93, $H$2:$H93, $H93)=1, 1, 0)</f>
        <v>1</v>
      </c>
      <c r="N93">
        <f>_xlfn.IFNA(HLOOKUP($J93, fee_reference!$B$1:$E$2, 2, FALSE), 0)</f>
        <v>0</v>
      </c>
    </row>
    <row r="94" spans="1:14" x14ac:dyDescent="0.3">
      <c r="A94" s="2" t="s">
        <v>107</v>
      </c>
      <c r="B94">
        <v>157</v>
      </c>
      <c r="C94">
        <v>37</v>
      </c>
      <c r="D94" t="str">
        <f>IFERROR(VLOOKUP($C94,merchants!$A$2:$D$41,2,FALSE),"Merchant not found")</f>
        <v>Merchant_037</v>
      </c>
      <c r="E94" t="str">
        <f>IFERROR(VLOOKUP($C94, merchants!$A$2:$D$41, 4, FALSE), "Merchant not found")</f>
        <v>South</v>
      </c>
      <c r="F94" t="str">
        <f>IFERROR(VLOOKUP($C94, merchants!$A$2:$D$41, 3, FALSE), "Merchant not found")</f>
        <v>entertainment</v>
      </c>
      <c r="G94" s="1">
        <v>46050.768750000003</v>
      </c>
      <c r="H94" s="4">
        <f t="shared" si="1"/>
        <v>46050</v>
      </c>
      <c r="I94">
        <v>499</v>
      </c>
      <c r="J94" s="2" t="s">
        <v>9</v>
      </c>
      <c r="K94" s="2" t="s">
        <v>10</v>
      </c>
      <c r="L94">
        <v>79</v>
      </c>
      <c r="M94">
        <f>IF(COUNTIFS($D$2:$D94, $D94, $H$2:$H94, $H94)=1, 1, 0)</f>
        <v>0</v>
      </c>
      <c r="N94">
        <f>_xlfn.IFNA(HLOOKUP($J94, fee_reference!$B$1:$E$2, 2, FALSE), 0)</f>
        <v>1.4999999999999999E-2</v>
      </c>
    </row>
    <row r="95" spans="1:14" x14ac:dyDescent="0.3">
      <c r="A95" s="2" t="s">
        <v>108</v>
      </c>
      <c r="B95">
        <v>51</v>
      </c>
      <c r="C95">
        <v>14</v>
      </c>
      <c r="D95" t="str">
        <f>IFERROR(VLOOKUP($C95,merchants!$A$2:$D$41,2,FALSE),"Merchant not found")</f>
        <v>Merchant_014</v>
      </c>
      <c r="E95" t="str">
        <f>IFERROR(VLOOKUP($C95, merchants!$A$2:$D$41, 4, FALSE), "Merchant not found")</f>
        <v>East</v>
      </c>
      <c r="F95" t="str">
        <f>IFERROR(VLOOKUP($C95, merchants!$A$2:$D$41, 3, FALSE), "Merchant not found")</f>
        <v>grocery</v>
      </c>
      <c r="G95" s="1">
        <v>46024.824305555558</v>
      </c>
      <c r="H95" s="4">
        <f t="shared" si="1"/>
        <v>46024</v>
      </c>
      <c r="I95">
        <v>1499</v>
      </c>
      <c r="J95" s="2" t="s">
        <v>12</v>
      </c>
      <c r="K95" s="2" t="s">
        <v>10</v>
      </c>
      <c r="L95">
        <v>80</v>
      </c>
      <c r="M95">
        <f>IF(COUNTIFS($D$2:$D95, $D95, $H$2:$H95, $H95)=1, 1, 0)</f>
        <v>1</v>
      </c>
      <c r="N95">
        <f>_xlfn.IFNA(HLOOKUP($J95, fee_reference!$B$1:$E$2, 2, FALSE), 0)</f>
        <v>0</v>
      </c>
    </row>
    <row r="96" spans="1:14" x14ac:dyDescent="0.3">
      <c r="A96" s="2" t="s">
        <v>109</v>
      </c>
      <c r="B96">
        <v>42</v>
      </c>
      <c r="C96">
        <v>11</v>
      </c>
      <c r="D96" t="str">
        <f>IFERROR(VLOOKUP($C96,merchants!$A$2:$D$41,2,FALSE),"Merchant not found")</f>
        <v>Merchant_011</v>
      </c>
      <c r="E96" t="str">
        <f>IFERROR(VLOOKUP($C96, merchants!$A$2:$D$41, 4, FALSE), "Merchant not found")</f>
        <v>North</v>
      </c>
      <c r="F96" t="str">
        <f>IFERROR(VLOOKUP($C96, merchants!$A$2:$D$41, 3, FALSE), "Merchant not found")</f>
        <v>ecommerce</v>
      </c>
      <c r="G96" s="1">
        <v>46029.362500000003</v>
      </c>
      <c r="H96" s="4">
        <f t="shared" si="1"/>
        <v>46029</v>
      </c>
      <c r="I96">
        <v>49</v>
      </c>
      <c r="J96" s="2" t="s">
        <v>9</v>
      </c>
      <c r="K96" s="2" t="s">
        <v>10</v>
      </c>
      <c r="L96">
        <v>30</v>
      </c>
      <c r="M96">
        <f>IF(COUNTIFS($D$2:$D96, $D96, $H$2:$H96, $H96)=1, 1, 0)</f>
        <v>1</v>
      </c>
      <c r="N96">
        <f>_xlfn.IFNA(HLOOKUP($J96, fee_reference!$B$1:$E$2, 2, FALSE), 0)</f>
        <v>1.4999999999999999E-2</v>
      </c>
    </row>
    <row r="97" spans="1:14" x14ac:dyDescent="0.3">
      <c r="A97" s="2" t="s">
        <v>110</v>
      </c>
      <c r="B97">
        <v>81</v>
      </c>
      <c r="C97">
        <v>1</v>
      </c>
      <c r="D97" t="str">
        <f>IFERROR(VLOOKUP($C97,merchants!$A$2:$D$41,2,FALSE),"Merchant not found")</f>
        <v>Merchant_001</v>
      </c>
      <c r="E97" t="str">
        <f>IFERROR(VLOOKUP($C97, merchants!$A$2:$D$41, 4, FALSE), "Merchant not found")</f>
        <v>South</v>
      </c>
      <c r="F97" t="str">
        <f>IFERROR(VLOOKUP($C97, merchants!$A$2:$D$41, 3, FALSE), "Merchant not found")</f>
        <v>ecommerce</v>
      </c>
      <c r="G97" s="1">
        <v>46028.711111111108</v>
      </c>
      <c r="H97" s="4">
        <f t="shared" si="1"/>
        <v>46028</v>
      </c>
      <c r="I97">
        <v>149</v>
      </c>
      <c r="J97" s="2" t="s">
        <v>12</v>
      </c>
      <c r="K97" s="2" t="s">
        <v>10</v>
      </c>
      <c r="L97">
        <v>52</v>
      </c>
      <c r="M97">
        <f>IF(COUNTIFS($D$2:$D97, $D97, $H$2:$H97, $H97)=1, 1, 0)</f>
        <v>1</v>
      </c>
      <c r="N97">
        <f>_xlfn.IFNA(HLOOKUP($J97, fee_reference!$B$1:$E$2, 2, FALSE), 0)</f>
        <v>0</v>
      </c>
    </row>
    <row r="98" spans="1:14" x14ac:dyDescent="0.3">
      <c r="A98" s="2" t="s">
        <v>111</v>
      </c>
      <c r="B98">
        <v>241</v>
      </c>
      <c r="C98">
        <v>19</v>
      </c>
      <c r="D98" t="str">
        <f>IFERROR(VLOOKUP($C98,merchants!$A$2:$D$41,2,FALSE),"Merchant not found")</f>
        <v>Merchant_019</v>
      </c>
      <c r="E98" t="str">
        <f>IFERROR(VLOOKUP($C98, merchants!$A$2:$D$41, 4, FALSE), "Merchant not found")</f>
        <v>North</v>
      </c>
      <c r="F98" t="str">
        <f>IFERROR(VLOOKUP($C98, merchants!$A$2:$D$41, 3, FALSE), "Merchant not found")</f>
        <v>grocery</v>
      </c>
      <c r="G98" s="1">
        <v>46037.943055555559</v>
      </c>
      <c r="H98" s="4">
        <f t="shared" si="1"/>
        <v>46037</v>
      </c>
      <c r="I98">
        <v>299</v>
      </c>
      <c r="J98" s="2" t="s">
        <v>12</v>
      </c>
      <c r="K98" s="2" t="s">
        <v>10</v>
      </c>
      <c r="L98">
        <v>4</v>
      </c>
      <c r="M98">
        <f>IF(COUNTIFS($D$2:$D98, $D98, $H$2:$H98, $H98)=1, 1, 0)</f>
        <v>1</v>
      </c>
      <c r="N98">
        <f>_xlfn.IFNA(HLOOKUP($J98, fee_reference!$B$1:$E$2, 2, FALSE), 0)</f>
        <v>0</v>
      </c>
    </row>
    <row r="99" spans="1:14" x14ac:dyDescent="0.3">
      <c r="A99" s="2" t="s">
        <v>112</v>
      </c>
      <c r="B99">
        <v>145</v>
      </c>
      <c r="C99">
        <v>30</v>
      </c>
      <c r="D99" t="str">
        <f>IFERROR(VLOOKUP($C99,merchants!$A$2:$D$41,2,FALSE),"Merchant not found")</f>
        <v>Merchant_030</v>
      </c>
      <c r="E99" t="str">
        <f>IFERROR(VLOOKUP($C99, merchants!$A$2:$D$41, 4, FALSE), "Merchant not found")</f>
        <v>West</v>
      </c>
      <c r="F99" t="str">
        <f>IFERROR(VLOOKUP($C99, merchants!$A$2:$D$41, 3, FALSE), "Merchant not found")</f>
        <v>travel</v>
      </c>
      <c r="G99" s="1">
        <v>46030.40625</v>
      </c>
      <c r="H99" s="4">
        <f t="shared" si="1"/>
        <v>46030</v>
      </c>
      <c r="I99">
        <v>799</v>
      </c>
      <c r="J99" s="2" t="s">
        <v>12</v>
      </c>
      <c r="K99" s="2" t="s">
        <v>10</v>
      </c>
      <c r="L99">
        <v>9</v>
      </c>
      <c r="M99">
        <f>IF(COUNTIFS($D$2:$D99, $D99, $H$2:$H99, $H99)=1, 1, 0)</f>
        <v>1</v>
      </c>
      <c r="N99">
        <f>_xlfn.IFNA(HLOOKUP($J99, fee_reference!$B$1:$E$2, 2, FALSE), 0)</f>
        <v>0</v>
      </c>
    </row>
    <row r="100" spans="1:14" x14ac:dyDescent="0.3">
      <c r="A100" s="2" t="s">
        <v>113</v>
      </c>
      <c r="B100">
        <v>136</v>
      </c>
      <c r="C100">
        <v>38</v>
      </c>
      <c r="D100" t="str">
        <f>IFERROR(VLOOKUP($C100,merchants!$A$2:$D$41,2,FALSE),"Merchant not found")</f>
        <v>Merchant_038</v>
      </c>
      <c r="E100" t="str">
        <f>IFERROR(VLOOKUP($C100, merchants!$A$2:$D$41, 4, FALSE), "Merchant not found")</f>
        <v>East</v>
      </c>
      <c r="F100" t="str">
        <f>IFERROR(VLOOKUP($C100, merchants!$A$2:$D$41, 3, FALSE), "Merchant not found")</f>
        <v>grocery</v>
      </c>
      <c r="G100" s="1">
        <v>46044.332638888889</v>
      </c>
      <c r="H100" s="4">
        <f t="shared" si="1"/>
        <v>46044</v>
      </c>
      <c r="I100">
        <v>299</v>
      </c>
      <c r="J100" s="2" t="s">
        <v>24</v>
      </c>
      <c r="K100" s="2" t="s">
        <v>10</v>
      </c>
      <c r="L100">
        <v>84</v>
      </c>
      <c r="M100">
        <f>IF(COUNTIFS($D$2:$D100, $D100, $H$2:$H100, $H100)=1, 1, 0)</f>
        <v>1</v>
      </c>
      <c r="N100">
        <f>_xlfn.IFNA(HLOOKUP($J100, fee_reference!$B$1:$E$2, 2, FALSE), 0)</f>
        <v>2.5000000000000001E-2</v>
      </c>
    </row>
    <row r="101" spans="1:14" x14ac:dyDescent="0.3">
      <c r="A101" s="2" t="s">
        <v>114</v>
      </c>
      <c r="B101">
        <v>59</v>
      </c>
      <c r="C101">
        <v>35</v>
      </c>
      <c r="D101" t="str">
        <f>IFERROR(VLOOKUP($C101,merchants!$A$2:$D$41,2,FALSE),"Merchant not found")</f>
        <v>Merchant_035</v>
      </c>
      <c r="E101" t="str">
        <f>IFERROR(VLOOKUP($C101, merchants!$A$2:$D$41, 4, FALSE), "Merchant not found")</f>
        <v>East</v>
      </c>
      <c r="F101" t="str">
        <f>IFERROR(VLOOKUP($C101, merchants!$A$2:$D$41, 3, FALSE), "Merchant not found")</f>
        <v>recharge</v>
      </c>
      <c r="G101" s="1">
        <v>46048.268750000003</v>
      </c>
      <c r="H101" s="4">
        <f t="shared" si="1"/>
        <v>46048</v>
      </c>
      <c r="I101">
        <v>499</v>
      </c>
      <c r="J101" s="2" t="s">
        <v>12</v>
      </c>
      <c r="K101" s="2" t="s">
        <v>10</v>
      </c>
      <c r="L101">
        <v>28</v>
      </c>
      <c r="M101">
        <f>IF(COUNTIFS($D$2:$D101, $D101, $H$2:$H101, $H101)=1, 1, 0)</f>
        <v>1</v>
      </c>
      <c r="N101">
        <f>_xlfn.IFNA(HLOOKUP($J101, fee_reference!$B$1:$E$2, 2, FALSE), 0)</f>
        <v>0</v>
      </c>
    </row>
    <row r="102" spans="1:14" x14ac:dyDescent="0.3">
      <c r="A102" s="2" t="s">
        <v>115</v>
      </c>
      <c r="B102">
        <v>137</v>
      </c>
      <c r="C102">
        <v>10</v>
      </c>
      <c r="D102" t="str">
        <f>IFERROR(VLOOKUP($C102,merchants!$A$2:$D$41,2,FALSE),"Merchant not found")</f>
        <v>Merchant_010</v>
      </c>
      <c r="E102" t="str">
        <f>IFERROR(VLOOKUP($C102, merchants!$A$2:$D$41, 4, FALSE), "Merchant not found")</f>
        <v>West</v>
      </c>
      <c r="F102" t="str">
        <f>IFERROR(VLOOKUP($C102, merchants!$A$2:$D$41, 3, FALSE), "Merchant not found")</f>
        <v>grocery</v>
      </c>
      <c r="G102" s="1">
        <v>46043.206944444442</v>
      </c>
      <c r="H102" s="4">
        <f t="shared" si="1"/>
        <v>46043</v>
      </c>
      <c r="I102">
        <v>299</v>
      </c>
      <c r="J102" s="2" t="s">
        <v>12</v>
      </c>
      <c r="K102" s="2" t="s">
        <v>10</v>
      </c>
      <c r="L102">
        <v>9</v>
      </c>
      <c r="M102">
        <f>IF(COUNTIFS($D$2:$D102, $D102, $H$2:$H102, $H102)=1, 1, 0)</f>
        <v>1</v>
      </c>
      <c r="N102">
        <f>_xlfn.IFNA(HLOOKUP($J102, fee_reference!$B$1:$E$2, 2, FALSE), 0)</f>
        <v>0</v>
      </c>
    </row>
    <row r="103" spans="1:14" x14ac:dyDescent="0.3">
      <c r="A103" s="2" t="s">
        <v>116</v>
      </c>
      <c r="B103">
        <v>158</v>
      </c>
      <c r="C103">
        <v>39</v>
      </c>
      <c r="D103" t="str">
        <f>IFERROR(VLOOKUP($C103,merchants!$A$2:$D$41,2,FALSE),"Merchant not found")</f>
        <v>Merchant_039</v>
      </c>
      <c r="E103" t="str">
        <f>IFERROR(VLOOKUP($C103, merchants!$A$2:$D$41, 4, FALSE), "Merchant not found")</f>
        <v>North</v>
      </c>
      <c r="F103" t="str">
        <f>IFERROR(VLOOKUP($C103, merchants!$A$2:$D$41, 3, FALSE), "Merchant not found")</f>
        <v>entertainment</v>
      </c>
      <c r="G103" s="1">
        <v>46024.243055555555</v>
      </c>
      <c r="H103" s="4">
        <f t="shared" si="1"/>
        <v>46024</v>
      </c>
      <c r="I103">
        <v>499</v>
      </c>
      <c r="J103" s="2" t="s">
        <v>15</v>
      </c>
      <c r="K103" s="2" t="s">
        <v>10</v>
      </c>
      <c r="L103">
        <v>95</v>
      </c>
      <c r="M103">
        <f>IF(COUNTIFS($D$2:$D103, $D103, $H$2:$H103, $H103)=1, 1, 0)</f>
        <v>1</v>
      </c>
      <c r="N103">
        <f>_xlfn.IFNA(HLOOKUP($J103, fee_reference!$B$1:$E$2, 2, FALSE), 0)</f>
        <v>0.01</v>
      </c>
    </row>
    <row r="104" spans="1:14" x14ac:dyDescent="0.3">
      <c r="A104" s="2" t="s">
        <v>117</v>
      </c>
      <c r="B104">
        <v>148</v>
      </c>
      <c r="C104">
        <v>29</v>
      </c>
      <c r="D104" t="str">
        <f>IFERROR(VLOOKUP($C104,merchants!$A$2:$D$41,2,FALSE),"Merchant not found")</f>
        <v>Merchant_029</v>
      </c>
      <c r="E104" t="str">
        <f>IFERROR(VLOOKUP($C104, merchants!$A$2:$D$41, 4, FALSE), "Merchant not found")</f>
        <v>North</v>
      </c>
      <c r="F104" t="str">
        <f>IFERROR(VLOOKUP($C104, merchants!$A$2:$D$41, 3, FALSE), "Merchant not found")</f>
        <v>ecommerce</v>
      </c>
      <c r="G104" s="1">
        <v>46049.790277777778</v>
      </c>
      <c r="H104" s="4">
        <f t="shared" si="1"/>
        <v>46049</v>
      </c>
      <c r="I104">
        <v>99</v>
      </c>
      <c r="J104" s="2" t="s">
        <v>24</v>
      </c>
      <c r="K104" s="2" t="s">
        <v>10</v>
      </c>
      <c r="L104">
        <v>15</v>
      </c>
      <c r="M104">
        <f>IF(COUNTIFS($D$2:$D104, $D104, $H$2:$H104, $H104)=1, 1, 0)</f>
        <v>1</v>
      </c>
      <c r="N104">
        <f>_xlfn.IFNA(HLOOKUP($J104, fee_reference!$B$1:$E$2, 2, FALSE), 0)</f>
        <v>2.5000000000000001E-2</v>
      </c>
    </row>
    <row r="105" spans="1:14" x14ac:dyDescent="0.3">
      <c r="A105" s="2" t="s">
        <v>118</v>
      </c>
      <c r="B105">
        <v>207</v>
      </c>
      <c r="C105">
        <v>18</v>
      </c>
      <c r="D105" t="str">
        <f>IFERROR(VLOOKUP($C105,merchants!$A$2:$D$41,2,FALSE),"Merchant not found")</f>
        <v>Merchant_018</v>
      </c>
      <c r="E105" t="str">
        <f>IFERROR(VLOOKUP($C105, merchants!$A$2:$D$41, 4, FALSE), "Merchant not found")</f>
        <v>West</v>
      </c>
      <c r="F105" t="str">
        <f>IFERROR(VLOOKUP($C105, merchants!$A$2:$D$41, 3, FALSE), "Merchant not found")</f>
        <v>grocery</v>
      </c>
      <c r="G105" s="1">
        <v>46037.929861111108</v>
      </c>
      <c r="H105" s="4">
        <f t="shared" si="1"/>
        <v>46037</v>
      </c>
      <c r="I105">
        <v>149</v>
      </c>
      <c r="J105" s="2" t="s">
        <v>12</v>
      </c>
      <c r="K105" s="2" t="s">
        <v>10</v>
      </c>
      <c r="L105">
        <v>64</v>
      </c>
      <c r="M105">
        <f>IF(COUNTIFS($D$2:$D105, $D105, $H$2:$H105, $H105)=1, 1, 0)</f>
        <v>1</v>
      </c>
      <c r="N105">
        <f>_xlfn.IFNA(HLOOKUP($J105, fee_reference!$B$1:$E$2, 2, FALSE), 0)</f>
        <v>0</v>
      </c>
    </row>
    <row r="106" spans="1:14" x14ac:dyDescent="0.3">
      <c r="A106" s="2" t="s">
        <v>119</v>
      </c>
      <c r="B106">
        <v>42</v>
      </c>
      <c r="C106">
        <v>39</v>
      </c>
      <c r="D106" t="str">
        <f>IFERROR(VLOOKUP($C106,merchants!$A$2:$D$41,2,FALSE),"Merchant not found")</f>
        <v>Merchant_039</v>
      </c>
      <c r="E106" t="str">
        <f>IFERROR(VLOOKUP($C106, merchants!$A$2:$D$41, 4, FALSE), "Merchant not found")</f>
        <v>North</v>
      </c>
      <c r="F106" t="str">
        <f>IFERROR(VLOOKUP($C106, merchants!$A$2:$D$41, 3, FALSE), "Merchant not found")</f>
        <v>entertainment</v>
      </c>
      <c r="G106" s="1">
        <v>46040.644444444442</v>
      </c>
      <c r="H106" s="4">
        <f t="shared" si="1"/>
        <v>46040</v>
      </c>
      <c r="I106">
        <v>2999</v>
      </c>
      <c r="J106" s="2" t="s">
        <v>24</v>
      </c>
      <c r="K106" s="2" t="s">
        <v>10</v>
      </c>
      <c r="L106">
        <v>5</v>
      </c>
      <c r="M106">
        <f>IF(COUNTIFS($D$2:$D106, $D106, $H$2:$H106, $H106)=1, 1, 0)</f>
        <v>1</v>
      </c>
      <c r="N106">
        <f>_xlfn.IFNA(HLOOKUP($J106, fee_reference!$B$1:$E$2, 2, FALSE), 0)</f>
        <v>2.5000000000000001E-2</v>
      </c>
    </row>
    <row r="107" spans="1:14" x14ac:dyDescent="0.3">
      <c r="A107" s="2" t="s">
        <v>120</v>
      </c>
      <c r="B107">
        <v>166</v>
      </c>
      <c r="C107">
        <v>39</v>
      </c>
      <c r="D107" t="str">
        <f>IFERROR(VLOOKUP($C107,merchants!$A$2:$D$41,2,FALSE),"Merchant not found")</f>
        <v>Merchant_039</v>
      </c>
      <c r="E107" t="str">
        <f>IFERROR(VLOOKUP($C107, merchants!$A$2:$D$41, 4, FALSE), "Merchant not found")</f>
        <v>North</v>
      </c>
      <c r="F107" t="str">
        <f>IFERROR(VLOOKUP($C107, merchants!$A$2:$D$41, 3, FALSE), "Merchant not found")</f>
        <v>entertainment</v>
      </c>
      <c r="G107" s="1">
        <v>46051.574305555558</v>
      </c>
      <c r="H107" s="4">
        <f t="shared" si="1"/>
        <v>46051</v>
      </c>
      <c r="I107">
        <v>149</v>
      </c>
      <c r="J107" s="2" t="s">
        <v>12</v>
      </c>
      <c r="K107" s="2" t="s">
        <v>10</v>
      </c>
      <c r="L107">
        <v>32</v>
      </c>
      <c r="M107">
        <f>IF(COUNTIFS($D$2:$D107, $D107, $H$2:$H107, $H107)=1, 1, 0)</f>
        <v>1</v>
      </c>
      <c r="N107">
        <f>_xlfn.IFNA(HLOOKUP($J107, fee_reference!$B$1:$E$2, 2, FALSE), 0)</f>
        <v>0</v>
      </c>
    </row>
    <row r="108" spans="1:14" x14ac:dyDescent="0.3">
      <c r="A108" s="2" t="s">
        <v>121</v>
      </c>
      <c r="B108">
        <v>346</v>
      </c>
      <c r="C108">
        <v>37</v>
      </c>
      <c r="D108" t="str">
        <f>IFERROR(VLOOKUP($C108,merchants!$A$2:$D$41,2,FALSE),"Merchant not found")</f>
        <v>Merchant_037</v>
      </c>
      <c r="E108" t="str">
        <f>IFERROR(VLOOKUP($C108, merchants!$A$2:$D$41, 4, FALSE), "Merchant not found")</f>
        <v>South</v>
      </c>
      <c r="F108" t="str">
        <f>IFERROR(VLOOKUP($C108, merchants!$A$2:$D$41, 3, FALSE), "Merchant not found")</f>
        <v>entertainment</v>
      </c>
      <c r="G108" s="1">
        <v>46023.093055555553</v>
      </c>
      <c r="H108" s="4">
        <f t="shared" si="1"/>
        <v>46023</v>
      </c>
      <c r="I108">
        <v>99</v>
      </c>
      <c r="J108" s="2" t="s">
        <v>12</v>
      </c>
      <c r="K108" s="2" t="s">
        <v>10</v>
      </c>
      <c r="L108">
        <v>75</v>
      </c>
      <c r="M108">
        <f>IF(COUNTIFS($D$2:$D108, $D108, $H$2:$H108, $H108)=1, 1, 0)</f>
        <v>1</v>
      </c>
      <c r="N108">
        <f>_xlfn.IFNA(HLOOKUP($J108, fee_reference!$B$1:$E$2, 2, FALSE), 0)</f>
        <v>0</v>
      </c>
    </row>
    <row r="109" spans="1:14" x14ac:dyDescent="0.3">
      <c r="A109" s="2" t="s">
        <v>122</v>
      </c>
      <c r="B109">
        <v>138</v>
      </c>
      <c r="C109">
        <v>37</v>
      </c>
      <c r="D109" t="str">
        <f>IFERROR(VLOOKUP($C109,merchants!$A$2:$D$41,2,FALSE),"Merchant not found")</f>
        <v>Merchant_037</v>
      </c>
      <c r="E109" t="str">
        <f>IFERROR(VLOOKUP($C109, merchants!$A$2:$D$41, 4, FALSE), "Merchant not found")</f>
        <v>South</v>
      </c>
      <c r="F109" t="str">
        <f>IFERROR(VLOOKUP($C109, merchants!$A$2:$D$41, 3, FALSE), "Merchant not found")</f>
        <v>entertainment</v>
      </c>
      <c r="G109" s="1">
        <v>46023.911111111112</v>
      </c>
      <c r="H109" s="4">
        <f t="shared" si="1"/>
        <v>46023</v>
      </c>
      <c r="I109">
        <v>499</v>
      </c>
      <c r="J109" s="2" t="s">
        <v>12</v>
      </c>
      <c r="K109" s="2" t="s">
        <v>10</v>
      </c>
      <c r="L109">
        <v>5</v>
      </c>
      <c r="M109">
        <f>IF(COUNTIFS($D$2:$D109, $D109, $H$2:$H109, $H109)=1, 1, 0)</f>
        <v>0</v>
      </c>
      <c r="N109">
        <f>_xlfn.IFNA(HLOOKUP($J109, fee_reference!$B$1:$E$2, 2, FALSE), 0)</f>
        <v>0</v>
      </c>
    </row>
    <row r="110" spans="1:14" x14ac:dyDescent="0.3">
      <c r="A110" s="2" t="s">
        <v>123</v>
      </c>
      <c r="B110">
        <v>266</v>
      </c>
      <c r="C110">
        <v>29</v>
      </c>
      <c r="D110" t="str">
        <f>IFERROR(VLOOKUP($C110,merchants!$A$2:$D$41,2,FALSE),"Merchant not found")</f>
        <v>Merchant_029</v>
      </c>
      <c r="E110" t="str">
        <f>IFERROR(VLOOKUP($C110, merchants!$A$2:$D$41, 4, FALSE), "Merchant not found")</f>
        <v>North</v>
      </c>
      <c r="F110" t="str">
        <f>IFERROR(VLOOKUP($C110, merchants!$A$2:$D$41, 3, FALSE), "Merchant not found")</f>
        <v>ecommerce</v>
      </c>
      <c r="G110" s="1">
        <v>46047.229166666664</v>
      </c>
      <c r="H110" s="4">
        <f t="shared" si="1"/>
        <v>46047</v>
      </c>
      <c r="I110">
        <v>499</v>
      </c>
      <c r="J110" s="2" t="s">
        <v>9</v>
      </c>
      <c r="K110" s="2" t="s">
        <v>25</v>
      </c>
      <c r="L110">
        <v>35</v>
      </c>
      <c r="M110">
        <f>IF(COUNTIFS($D$2:$D110, $D110, $H$2:$H110, $H110)=1, 1, 0)</f>
        <v>0</v>
      </c>
      <c r="N110">
        <f>_xlfn.IFNA(HLOOKUP($J110, fee_reference!$B$1:$E$2, 2, FALSE), 0)</f>
        <v>1.4999999999999999E-2</v>
      </c>
    </row>
    <row r="111" spans="1:14" x14ac:dyDescent="0.3">
      <c r="A111" s="2" t="s">
        <v>124</v>
      </c>
      <c r="B111">
        <v>326</v>
      </c>
      <c r="C111">
        <v>32</v>
      </c>
      <c r="D111" t="str">
        <f>IFERROR(VLOOKUP($C111,merchants!$A$2:$D$41,2,FALSE),"Merchant not found")</f>
        <v>Merchant_032</v>
      </c>
      <c r="E111" t="str">
        <f>IFERROR(VLOOKUP($C111, merchants!$A$2:$D$41, 4, FALSE), "Merchant not found")</f>
        <v>West</v>
      </c>
      <c r="F111" t="str">
        <f>IFERROR(VLOOKUP($C111, merchants!$A$2:$D$41, 3, FALSE), "Merchant not found")</f>
        <v>food_delivery</v>
      </c>
      <c r="G111" s="1">
        <v>46028.768750000003</v>
      </c>
      <c r="H111" s="4">
        <f t="shared" si="1"/>
        <v>46028</v>
      </c>
      <c r="I111">
        <v>149</v>
      </c>
      <c r="J111" s="2" t="s">
        <v>12</v>
      </c>
      <c r="K111" s="2" t="s">
        <v>10</v>
      </c>
      <c r="L111">
        <v>11</v>
      </c>
      <c r="M111">
        <f>IF(COUNTIFS($D$2:$D111, $D111, $H$2:$H111, $H111)=1, 1, 0)</f>
        <v>1</v>
      </c>
      <c r="N111">
        <f>_xlfn.IFNA(HLOOKUP($J111, fee_reference!$B$1:$E$2, 2, FALSE), 0)</f>
        <v>0</v>
      </c>
    </row>
    <row r="112" spans="1:14" x14ac:dyDescent="0.3">
      <c r="A112" s="2" t="s">
        <v>125</v>
      </c>
      <c r="B112">
        <v>171</v>
      </c>
      <c r="C112">
        <v>21</v>
      </c>
      <c r="D112" t="str">
        <f>IFERROR(VLOOKUP($C112,merchants!$A$2:$D$41,2,FALSE),"Merchant not found")</f>
        <v>Merchant_021</v>
      </c>
      <c r="E112" t="str">
        <f>IFERROR(VLOOKUP($C112, merchants!$A$2:$D$41, 4, FALSE), "Merchant not found")</f>
        <v>East</v>
      </c>
      <c r="F112" t="str">
        <f>IFERROR(VLOOKUP($C112, merchants!$A$2:$D$41, 3, FALSE), "Merchant not found")</f>
        <v>food_delivery</v>
      </c>
      <c r="G112" s="1">
        <v>46038.476388888892</v>
      </c>
      <c r="H112" s="4">
        <f t="shared" si="1"/>
        <v>46038</v>
      </c>
      <c r="I112">
        <v>799</v>
      </c>
      <c r="J112" s="2" t="s">
        <v>12</v>
      </c>
      <c r="K112" s="2" t="s">
        <v>10</v>
      </c>
      <c r="L112">
        <v>85</v>
      </c>
      <c r="M112">
        <f>IF(COUNTIFS($D$2:$D112, $D112, $H$2:$H112, $H112)=1, 1, 0)</f>
        <v>1</v>
      </c>
      <c r="N112">
        <f>_xlfn.IFNA(HLOOKUP($J112, fee_reference!$B$1:$E$2, 2, FALSE), 0)</f>
        <v>0</v>
      </c>
    </row>
    <row r="113" spans="1:14" x14ac:dyDescent="0.3">
      <c r="A113" s="2" t="s">
        <v>126</v>
      </c>
      <c r="B113">
        <v>211</v>
      </c>
      <c r="C113">
        <v>32</v>
      </c>
      <c r="D113" t="str">
        <f>IFERROR(VLOOKUP($C113,merchants!$A$2:$D$41,2,FALSE),"Merchant not found")</f>
        <v>Merchant_032</v>
      </c>
      <c r="E113" t="str">
        <f>IFERROR(VLOOKUP($C113, merchants!$A$2:$D$41, 4, FALSE), "Merchant not found")</f>
        <v>West</v>
      </c>
      <c r="F113" t="str">
        <f>IFERROR(VLOOKUP($C113, merchants!$A$2:$D$41, 3, FALSE), "Merchant not found")</f>
        <v>food_delivery</v>
      </c>
      <c r="G113" s="1">
        <v>46026.222916666666</v>
      </c>
      <c r="H113" s="4">
        <f t="shared" si="1"/>
        <v>46026</v>
      </c>
      <c r="I113">
        <v>49</v>
      </c>
      <c r="J113" s="2" t="s">
        <v>12</v>
      </c>
      <c r="K113" s="2" t="s">
        <v>10</v>
      </c>
      <c r="L113">
        <v>36</v>
      </c>
      <c r="M113">
        <f>IF(COUNTIFS($D$2:$D113, $D113, $H$2:$H113, $H113)=1, 1, 0)</f>
        <v>1</v>
      </c>
      <c r="N113">
        <f>_xlfn.IFNA(HLOOKUP($J113, fee_reference!$B$1:$E$2, 2, FALSE), 0)</f>
        <v>0</v>
      </c>
    </row>
    <row r="114" spans="1:14" x14ac:dyDescent="0.3">
      <c r="A114" s="2" t="s">
        <v>127</v>
      </c>
      <c r="B114">
        <v>282</v>
      </c>
      <c r="C114">
        <v>3</v>
      </c>
      <c r="D114" t="str">
        <f>IFERROR(VLOOKUP($C114,merchants!$A$2:$D$41,2,FALSE),"Merchant not found")</f>
        <v>Merchant_003</v>
      </c>
      <c r="E114" t="str">
        <f>IFERROR(VLOOKUP($C114, merchants!$A$2:$D$41, 4, FALSE), "Merchant not found")</f>
        <v>East</v>
      </c>
      <c r="F114" t="str">
        <f>IFERROR(VLOOKUP($C114, merchants!$A$2:$D$41, 3, FALSE), "Merchant not found")</f>
        <v>grocery</v>
      </c>
      <c r="G114" s="1">
        <v>46044.536111111112</v>
      </c>
      <c r="H114" s="4">
        <f t="shared" si="1"/>
        <v>46044</v>
      </c>
      <c r="I114">
        <v>499</v>
      </c>
      <c r="J114" s="2" t="s">
        <v>12</v>
      </c>
      <c r="K114" s="2" t="s">
        <v>10</v>
      </c>
      <c r="L114">
        <v>58</v>
      </c>
      <c r="M114">
        <f>IF(COUNTIFS($D$2:$D114, $D114, $H$2:$H114, $H114)=1, 1, 0)</f>
        <v>1</v>
      </c>
      <c r="N114">
        <f>_xlfn.IFNA(HLOOKUP($J114, fee_reference!$B$1:$E$2, 2, FALSE), 0)</f>
        <v>0</v>
      </c>
    </row>
    <row r="115" spans="1:14" x14ac:dyDescent="0.3">
      <c r="A115" s="2" t="s">
        <v>128</v>
      </c>
      <c r="B115">
        <v>166</v>
      </c>
      <c r="C115">
        <v>8</v>
      </c>
      <c r="D115" t="str">
        <f>IFERROR(VLOOKUP($C115,merchants!$A$2:$D$41,2,FALSE),"Merchant not found")</f>
        <v>Merchant_008</v>
      </c>
      <c r="E115" t="str">
        <f>IFERROR(VLOOKUP($C115, merchants!$A$2:$D$41, 4, FALSE), "Merchant not found")</f>
        <v>North</v>
      </c>
      <c r="F115" t="str">
        <f>IFERROR(VLOOKUP($C115, merchants!$A$2:$D$41, 3, FALSE), "Merchant not found")</f>
        <v>food_delivery</v>
      </c>
      <c r="G115" s="1">
        <v>46025.427777777775</v>
      </c>
      <c r="H115" s="4">
        <f t="shared" si="1"/>
        <v>46025</v>
      </c>
      <c r="I115">
        <v>299</v>
      </c>
      <c r="J115" s="2" t="s">
        <v>12</v>
      </c>
      <c r="K115" s="2" t="s">
        <v>10</v>
      </c>
      <c r="L115">
        <v>98</v>
      </c>
      <c r="M115">
        <f>IF(COUNTIFS($D$2:$D115, $D115, $H$2:$H115, $H115)=1, 1, 0)</f>
        <v>1</v>
      </c>
      <c r="N115">
        <f>_xlfn.IFNA(HLOOKUP($J115, fee_reference!$B$1:$E$2, 2, FALSE), 0)</f>
        <v>0</v>
      </c>
    </row>
    <row r="116" spans="1:14" x14ac:dyDescent="0.3">
      <c r="A116" s="2" t="s">
        <v>129</v>
      </c>
      <c r="B116">
        <v>1</v>
      </c>
      <c r="C116">
        <v>35</v>
      </c>
      <c r="D116" t="str">
        <f>IFERROR(VLOOKUP($C116,merchants!$A$2:$D$41,2,FALSE),"Merchant not found")</f>
        <v>Merchant_035</v>
      </c>
      <c r="E116" t="str">
        <f>IFERROR(VLOOKUP($C116, merchants!$A$2:$D$41, 4, FALSE), "Merchant not found")</f>
        <v>East</v>
      </c>
      <c r="F116" t="str">
        <f>IFERROR(VLOOKUP($C116, merchants!$A$2:$D$41, 3, FALSE), "Merchant not found")</f>
        <v>recharge</v>
      </c>
      <c r="G116" s="1">
        <v>46035.702777777777</v>
      </c>
      <c r="H116" s="4">
        <f t="shared" si="1"/>
        <v>46035</v>
      </c>
      <c r="I116">
        <v>149</v>
      </c>
      <c r="J116" s="2" t="s">
        <v>12</v>
      </c>
      <c r="K116" s="2" t="s">
        <v>10</v>
      </c>
      <c r="L116">
        <v>59</v>
      </c>
      <c r="M116">
        <f>IF(COUNTIFS($D$2:$D116, $D116, $H$2:$H116, $H116)=1, 1, 0)</f>
        <v>1</v>
      </c>
      <c r="N116">
        <f>_xlfn.IFNA(HLOOKUP($J116, fee_reference!$B$1:$E$2, 2, FALSE), 0)</f>
        <v>0</v>
      </c>
    </row>
    <row r="117" spans="1:14" x14ac:dyDescent="0.3">
      <c r="A117" s="2" t="s">
        <v>130</v>
      </c>
      <c r="B117">
        <v>266</v>
      </c>
      <c r="C117">
        <v>24</v>
      </c>
      <c r="D117" t="str">
        <f>IFERROR(VLOOKUP($C117,merchants!$A$2:$D$41,2,FALSE),"Merchant not found")</f>
        <v>Merchant_024</v>
      </c>
      <c r="E117" t="str">
        <f>IFERROR(VLOOKUP($C117, merchants!$A$2:$D$41, 4, FALSE), "Merchant not found")</f>
        <v>North</v>
      </c>
      <c r="F117" t="str">
        <f>IFERROR(VLOOKUP($C117, merchants!$A$2:$D$41, 3, FALSE), "Merchant not found")</f>
        <v>grocery</v>
      </c>
      <c r="G117" s="1">
        <v>46036.05</v>
      </c>
      <c r="H117" s="4">
        <f t="shared" si="1"/>
        <v>46036</v>
      </c>
      <c r="I117">
        <v>499</v>
      </c>
      <c r="J117" s="2" t="s">
        <v>12</v>
      </c>
      <c r="K117" s="2" t="s">
        <v>10</v>
      </c>
      <c r="L117">
        <v>79</v>
      </c>
      <c r="M117">
        <f>IF(COUNTIFS($D$2:$D117, $D117, $H$2:$H117, $H117)=1, 1, 0)</f>
        <v>1</v>
      </c>
      <c r="N117">
        <f>_xlfn.IFNA(HLOOKUP($J117, fee_reference!$B$1:$E$2, 2, FALSE), 0)</f>
        <v>0</v>
      </c>
    </row>
    <row r="118" spans="1:14" x14ac:dyDescent="0.3">
      <c r="A118" s="2" t="s">
        <v>131</v>
      </c>
      <c r="B118">
        <v>227</v>
      </c>
      <c r="C118">
        <v>4</v>
      </c>
      <c r="D118" t="str">
        <f>IFERROR(VLOOKUP($C118,merchants!$A$2:$D$41,2,FALSE),"Merchant not found")</f>
        <v>Merchant_004</v>
      </c>
      <c r="E118" t="str">
        <f>IFERROR(VLOOKUP($C118, merchants!$A$2:$D$41, 4, FALSE), "Merchant not found")</f>
        <v>East</v>
      </c>
      <c r="F118" t="str">
        <f>IFERROR(VLOOKUP($C118, merchants!$A$2:$D$41, 3, FALSE), "Merchant not found")</f>
        <v>ecommerce</v>
      </c>
      <c r="G118" s="1">
        <v>46047.652777777781</v>
      </c>
      <c r="H118" s="4">
        <f t="shared" si="1"/>
        <v>46047</v>
      </c>
      <c r="I118">
        <v>499</v>
      </c>
      <c r="J118" s="2" t="s">
        <v>12</v>
      </c>
      <c r="K118" s="2" t="s">
        <v>10</v>
      </c>
      <c r="L118">
        <v>26</v>
      </c>
      <c r="M118">
        <f>IF(COUNTIFS($D$2:$D118, $D118, $H$2:$H118, $H118)=1, 1, 0)</f>
        <v>1</v>
      </c>
      <c r="N118">
        <f>_xlfn.IFNA(HLOOKUP($J118, fee_reference!$B$1:$E$2, 2, FALSE), 0)</f>
        <v>0</v>
      </c>
    </row>
    <row r="119" spans="1:14" x14ac:dyDescent="0.3">
      <c r="A119" s="2" t="s">
        <v>132</v>
      </c>
      <c r="B119">
        <v>148</v>
      </c>
      <c r="C119">
        <v>29</v>
      </c>
      <c r="D119" t="str">
        <f>IFERROR(VLOOKUP($C119,merchants!$A$2:$D$41,2,FALSE),"Merchant not found")</f>
        <v>Merchant_029</v>
      </c>
      <c r="E119" t="str">
        <f>IFERROR(VLOOKUP($C119, merchants!$A$2:$D$41, 4, FALSE), "Merchant not found")</f>
        <v>North</v>
      </c>
      <c r="F119" t="str">
        <f>IFERROR(VLOOKUP($C119, merchants!$A$2:$D$41, 3, FALSE), "Merchant not found")</f>
        <v>ecommerce</v>
      </c>
      <c r="G119" s="1">
        <v>46031.713888888888</v>
      </c>
      <c r="H119" s="4">
        <f t="shared" si="1"/>
        <v>46031</v>
      </c>
      <c r="I119">
        <v>499</v>
      </c>
      <c r="J119" s="2" t="s">
        <v>12</v>
      </c>
      <c r="K119" s="2" t="s">
        <v>10</v>
      </c>
      <c r="L119">
        <v>89</v>
      </c>
      <c r="M119">
        <f>IF(COUNTIFS($D$2:$D119, $D119, $H$2:$H119, $H119)=1, 1, 0)</f>
        <v>1</v>
      </c>
      <c r="N119">
        <f>_xlfn.IFNA(HLOOKUP($J119, fee_reference!$B$1:$E$2, 2, FALSE), 0)</f>
        <v>0</v>
      </c>
    </row>
    <row r="120" spans="1:14" x14ac:dyDescent="0.3">
      <c r="A120" s="2" t="s">
        <v>133</v>
      </c>
      <c r="B120">
        <v>323</v>
      </c>
      <c r="C120">
        <v>39</v>
      </c>
      <c r="D120" t="str">
        <f>IFERROR(VLOOKUP($C120,merchants!$A$2:$D$41,2,FALSE),"Merchant not found")</f>
        <v>Merchant_039</v>
      </c>
      <c r="E120" t="str">
        <f>IFERROR(VLOOKUP($C120, merchants!$A$2:$D$41, 4, FALSE), "Merchant not found")</f>
        <v>North</v>
      </c>
      <c r="F120" t="str">
        <f>IFERROR(VLOOKUP($C120, merchants!$A$2:$D$41, 3, FALSE), "Merchant not found")</f>
        <v>entertainment</v>
      </c>
      <c r="G120" s="1">
        <v>46038.125694444447</v>
      </c>
      <c r="H120" s="4">
        <f t="shared" si="1"/>
        <v>46038</v>
      </c>
      <c r="I120">
        <v>499</v>
      </c>
      <c r="J120" s="2" t="s">
        <v>12</v>
      </c>
      <c r="K120" s="2" t="s">
        <v>10</v>
      </c>
      <c r="L120">
        <v>30</v>
      </c>
      <c r="M120">
        <f>IF(COUNTIFS($D$2:$D120, $D120, $H$2:$H120, $H120)=1, 1, 0)</f>
        <v>1</v>
      </c>
      <c r="N120">
        <f>_xlfn.IFNA(HLOOKUP($J120, fee_reference!$B$1:$E$2, 2, FALSE), 0)</f>
        <v>0</v>
      </c>
    </row>
    <row r="121" spans="1:14" x14ac:dyDescent="0.3">
      <c r="A121" s="2" t="s">
        <v>134</v>
      </c>
      <c r="B121">
        <v>283</v>
      </c>
      <c r="C121">
        <v>1</v>
      </c>
      <c r="D121" t="str">
        <f>IFERROR(VLOOKUP($C121,merchants!$A$2:$D$41,2,FALSE),"Merchant not found")</f>
        <v>Merchant_001</v>
      </c>
      <c r="E121" t="str">
        <f>IFERROR(VLOOKUP($C121, merchants!$A$2:$D$41, 4, FALSE), "Merchant not found")</f>
        <v>South</v>
      </c>
      <c r="F121" t="str">
        <f>IFERROR(VLOOKUP($C121, merchants!$A$2:$D$41, 3, FALSE), "Merchant not found")</f>
        <v>ecommerce</v>
      </c>
      <c r="G121" s="1">
        <v>46045.22152777778</v>
      </c>
      <c r="H121" s="4">
        <f t="shared" si="1"/>
        <v>46045</v>
      </c>
      <c r="I121">
        <v>2999</v>
      </c>
      <c r="J121" s="2" t="s">
        <v>9</v>
      </c>
      <c r="K121" s="2" t="s">
        <v>10</v>
      </c>
      <c r="L121">
        <v>70</v>
      </c>
      <c r="M121">
        <f>IF(COUNTIFS($D$2:$D121, $D121, $H$2:$H121, $H121)=1, 1, 0)</f>
        <v>1</v>
      </c>
      <c r="N121">
        <f>_xlfn.IFNA(HLOOKUP($J121, fee_reference!$B$1:$E$2, 2, FALSE), 0)</f>
        <v>1.4999999999999999E-2</v>
      </c>
    </row>
    <row r="122" spans="1:14" x14ac:dyDescent="0.3">
      <c r="A122" s="2" t="s">
        <v>135</v>
      </c>
      <c r="B122">
        <v>59</v>
      </c>
      <c r="C122">
        <v>30</v>
      </c>
      <c r="D122" t="str">
        <f>IFERROR(VLOOKUP($C122,merchants!$A$2:$D$41,2,FALSE),"Merchant not found")</f>
        <v>Merchant_030</v>
      </c>
      <c r="E122" t="str">
        <f>IFERROR(VLOOKUP($C122, merchants!$A$2:$D$41, 4, FALSE), "Merchant not found")</f>
        <v>West</v>
      </c>
      <c r="F122" t="str">
        <f>IFERROR(VLOOKUP($C122, merchants!$A$2:$D$41, 3, FALSE), "Merchant not found")</f>
        <v>travel</v>
      </c>
      <c r="G122" s="1">
        <v>46036.093055555553</v>
      </c>
      <c r="H122" s="4">
        <f t="shared" si="1"/>
        <v>46036</v>
      </c>
      <c r="I122">
        <v>499</v>
      </c>
      <c r="J122" s="2" t="s">
        <v>12</v>
      </c>
      <c r="K122" s="2" t="s">
        <v>10</v>
      </c>
      <c r="L122">
        <v>15</v>
      </c>
      <c r="M122">
        <f>IF(COUNTIFS($D$2:$D122, $D122, $H$2:$H122, $H122)=1, 1, 0)</f>
        <v>0</v>
      </c>
      <c r="N122">
        <f>_xlfn.IFNA(HLOOKUP($J122, fee_reference!$B$1:$E$2, 2, FALSE), 0)</f>
        <v>0</v>
      </c>
    </row>
    <row r="123" spans="1:14" x14ac:dyDescent="0.3">
      <c r="A123" s="2" t="s">
        <v>136</v>
      </c>
      <c r="B123">
        <v>150</v>
      </c>
      <c r="C123">
        <v>33</v>
      </c>
      <c r="D123" t="str">
        <f>IFERROR(VLOOKUP($C123,merchants!$A$2:$D$41,2,FALSE),"Merchant not found")</f>
        <v>Merchant_033</v>
      </c>
      <c r="E123" t="str">
        <f>IFERROR(VLOOKUP($C123, merchants!$A$2:$D$41, 4, FALSE), "Merchant not found")</f>
        <v>East</v>
      </c>
      <c r="F123" t="str">
        <f>IFERROR(VLOOKUP($C123, merchants!$A$2:$D$41, 3, FALSE), "Merchant not found")</f>
        <v>bill_payment</v>
      </c>
      <c r="G123" s="1">
        <v>46043.188194444447</v>
      </c>
      <c r="H123" s="4">
        <f t="shared" si="1"/>
        <v>46043</v>
      </c>
      <c r="I123">
        <v>2999</v>
      </c>
      <c r="J123" s="2" t="s">
        <v>12</v>
      </c>
      <c r="K123" s="2" t="s">
        <v>10</v>
      </c>
      <c r="L123">
        <v>90</v>
      </c>
      <c r="M123">
        <f>IF(COUNTIFS($D$2:$D123, $D123, $H$2:$H123, $H123)=1, 1, 0)</f>
        <v>1</v>
      </c>
      <c r="N123">
        <f>_xlfn.IFNA(HLOOKUP($J123, fee_reference!$B$1:$E$2, 2, FALSE), 0)</f>
        <v>0</v>
      </c>
    </row>
    <row r="124" spans="1:14" x14ac:dyDescent="0.3">
      <c r="A124" s="2" t="s">
        <v>137</v>
      </c>
      <c r="B124">
        <v>248</v>
      </c>
      <c r="C124">
        <v>31</v>
      </c>
      <c r="D124" t="str">
        <f>IFERROR(VLOOKUP($C124,merchants!$A$2:$D$41,2,FALSE),"Merchant not found")</f>
        <v>Merchant_031</v>
      </c>
      <c r="E124" t="str">
        <f>IFERROR(VLOOKUP($C124, merchants!$A$2:$D$41, 4, FALSE), "Merchant not found")</f>
        <v>East</v>
      </c>
      <c r="F124" t="str">
        <f>IFERROR(VLOOKUP($C124, merchants!$A$2:$D$41, 3, FALSE), "Merchant not found")</f>
        <v>bill_payment</v>
      </c>
      <c r="G124" s="1">
        <v>46031.578472222223</v>
      </c>
      <c r="H124" s="4">
        <f t="shared" si="1"/>
        <v>46031</v>
      </c>
      <c r="I124">
        <v>1499</v>
      </c>
      <c r="J124" s="2" t="s">
        <v>12</v>
      </c>
      <c r="K124" s="2" t="s">
        <v>25</v>
      </c>
      <c r="L124">
        <v>31</v>
      </c>
      <c r="M124">
        <f>IF(COUNTIFS($D$2:$D124, $D124, $H$2:$H124, $H124)=1, 1, 0)</f>
        <v>1</v>
      </c>
      <c r="N124">
        <f>_xlfn.IFNA(HLOOKUP($J124, fee_reference!$B$1:$E$2, 2, FALSE), 0)</f>
        <v>0</v>
      </c>
    </row>
    <row r="125" spans="1:14" x14ac:dyDescent="0.3">
      <c r="A125" s="2" t="s">
        <v>138</v>
      </c>
      <c r="B125">
        <v>197</v>
      </c>
      <c r="C125">
        <v>13</v>
      </c>
      <c r="D125" t="str">
        <f>IFERROR(VLOOKUP($C125,merchants!$A$2:$D$41,2,FALSE),"Merchant not found")</f>
        <v>Merchant_013</v>
      </c>
      <c r="E125" t="str">
        <f>IFERROR(VLOOKUP($C125, merchants!$A$2:$D$41, 4, FALSE), "Merchant not found")</f>
        <v>East</v>
      </c>
      <c r="F125" t="str">
        <f>IFERROR(VLOOKUP($C125, merchants!$A$2:$D$41, 3, FALSE), "Merchant not found")</f>
        <v>travel</v>
      </c>
      <c r="G125" s="1">
        <v>46037.714583333334</v>
      </c>
      <c r="H125" s="4">
        <f t="shared" si="1"/>
        <v>46037</v>
      </c>
      <c r="I125">
        <v>49</v>
      </c>
      <c r="J125" s="2" t="s">
        <v>12</v>
      </c>
      <c r="K125" s="2" t="s">
        <v>10</v>
      </c>
      <c r="L125">
        <v>76</v>
      </c>
      <c r="M125">
        <f>IF(COUNTIFS($D$2:$D125, $D125, $H$2:$H125, $H125)=1, 1, 0)</f>
        <v>1</v>
      </c>
      <c r="N125">
        <f>_xlfn.IFNA(HLOOKUP($J125, fee_reference!$B$1:$E$2, 2, FALSE), 0)</f>
        <v>0</v>
      </c>
    </row>
    <row r="126" spans="1:14" x14ac:dyDescent="0.3">
      <c r="A126" s="2" t="s">
        <v>139</v>
      </c>
      <c r="B126">
        <v>70</v>
      </c>
      <c r="C126">
        <v>5</v>
      </c>
      <c r="D126" t="str">
        <f>IFERROR(VLOOKUP($C126,merchants!$A$2:$D$41,2,FALSE),"Merchant not found")</f>
        <v>Merchant_005</v>
      </c>
      <c r="E126" t="str">
        <f>IFERROR(VLOOKUP($C126, merchants!$A$2:$D$41, 4, FALSE), "Merchant not found")</f>
        <v>South</v>
      </c>
      <c r="F126" t="str">
        <f>IFERROR(VLOOKUP($C126, merchants!$A$2:$D$41, 3, FALSE), "Merchant not found")</f>
        <v>recharge</v>
      </c>
      <c r="G126" s="1">
        <v>46039.99722222222</v>
      </c>
      <c r="H126" s="4">
        <f t="shared" si="1"/>
        <v>46039</v>
      </c>
      <c r="I126">
        <v>499</v>
      </c>
      <c r="J126" s="2" t="s">
        <v>12</v>
      </c>
      <c r="K126" s="2" t="s">
        <v>10</v>
      </c>
      <c r="L126">
        <v>35</v>
      </c>
      <c r="M126">
        <f>IF(COUNTIFS($D$2:$D126, $D126, $H$2:$H126, $H126)=1, 1, 0)</f>
        <v>1</v>
      </c>
      <c r="N126">
        <f>_xlfn.IFNA(HLOOKUP($J126, fee_reference!$B$1:$E$2, 2, FALSE), 0)</f>
        <v>0</v>
      </c>
    </row>
    <row r="127" spans="1:14" x14ac:dyDescent="0.3">
      <c r="A127" s="2" t="s">
        <v>140</v>
      </c>
      <c r="B127">
        <v>260</v>
      </c>
      <c r="C127">
        <v>18</v>
      </c>
      <c r="D127" t="str">
        <f>IFERROR(VLOOKUP($C127,merchants!$A$2:$D$41,2,FALSE),"Merchant not found")</f>
        <v>Merchant_018</v>
      </c>
      <c r="E127" t="str">
        <f>IFERROR(VLOOKUP($C127, merchants!$A$2:$D$41, 4, FALSE), "Merchant not found")</f>
        <v>West</v>
      </c>
      <c r="F127" t="str">
        <f>IFERROR(VLOOKUP($C127, merchants!$A$2:$D$41, 3, FALSE), "Merchant not found")</f>
        <v>grocery</v>
      </c>
      <c r="G127" s="1">
        <v>46047.556250000001</v>
      </c>
      <c r="H127" s="4">
        <f t="shared" si="1"/>
        <v>46047</v>
      </c>
      <c r="I127">
        <v>1499</v>
      </c>
      <c r="J127" s="2" t="s">
        <v>12</v>
      </c>
      <c r="K127" s="2" t="s">
        <v>10</v>
      </c>
      <c r="L127">
        <v>0</v>
      </c>
      <c r="M127">
        <f>IF(COUNTIFS($D$2:$D127, $D127, $H$2:$H127, $H127)=1, 1, 0)</f>
        <v>0</v>
      </c>
      <c r="N127">
        <f>_xlfn.IFNA(HLOOKUP($J127, fee_reference!$B$1:$E$2, 2, FALSE), 0)</f>
        <v>0</v>
      </c>
    </row>
    <row r="128" spans="1:14" x14ac:dyDescent="0.3">
      <c r="A128" s="2" t="s">
        <v>141</v>
      </c>
      <c r="B128">
        <v>301</v>
      </c>
      <c r="C128">
        <v>38</v>
      </c>
      <c r="D128" t="str">
        <f>IFERROR(VLOOKUP($C128,merchants!$A$2:$D$41,2,FALSE),"Merchant not found")</f>
        <v>Merchant_038</v>
      </c>
      <c r="E128" t="str">
        <f>IFERROR(VLOOKUP($C128, merchants!$A$2:$D$41, 4, FALSE), "Merchant not found")</f>
        <v>East</v>
      </c>
      <c r="F128" t="str">
        <f>IFERROR(VLOOKUP($C128, merchants!$A$2:$D$41, 3, FALSE), "Merchant not found")</f>
        <v>grocery</v>
      </c>
      <c r="G128" s="1">
        <v>46032.97152777778</v>
      </c>
      <c r="H128" s="4">
        <f t="shared" si="1"/>
        <v>46032</v>
      </c>
      <c r="I128">
        <v>99</v>
      </c>
      <c r="J128" s="2" t="s">
        <v>12</v>
      </c>
      <c r="K128" s="2" t="s">
        <v>10</v>
      </c>
      <c r="L128">
        <v>84</v>
      </c>
      <c r="M128">
        <f>IF(COUNTIFS($D$2:$D128, $D128, $H$2:$H128, $H128)=1, 1, 0)</f>
        <v>1</v>
      </c>
      <c r="N128">
        <f>_xlfn.IFNA(HLOOKUP($J128, fee_reference!$B$1:$E$2, 2, FALSE), 0)</f>
        <v>0</v>
      </c>
    </row>
    <row r="129" spans="1:14" x14ac:dyDescent="0.3">
      <c r="A129" s="2" t="s">
        <v>142</v>
      </c>
      <c r="B129">
        <v>276</v>
      </c>
      <c r="C129">
        <v>31</v>
      </c>
      <c r="D129" t="str">
        <f>IFERROR(VLOOKUP($C129,merchants!$A$2:$D$41,2,FALSE),"Merchant not found")</f>
        <v>Merchant_031</v>
      </c>
      <c r="E129" t="str">
        <f>IFERROR(VLOOKUP($C129, merchants!$A$2:$D$41, 4, FALSE), "Merchant not found")</f>
        <v>East</v>
      </c>
      <c r="F129" t="str">
        <f>IFERROR(VLOOKUP($C129, merchants!$A$2:$D$41, 3, FALSE), "Merchant not found")</f>
        <v>bill_payment</v>
      </c>
      <c r="G129" s="1">
        <v>46038.186111111114</v>
      </c>
      <c r="H129" s="4">
        <f t="shared" si="1"/>
        <v>46038</v>
      </c>
      <c r="I129">
        <v>499</v>
      </c>
      <c r="J129" s="2" t="s">
        <v>24</v>
      </c>
      <c r="K129" s="2" t="s">
        <v>10</v>
      </c>
      <c r="L129">
        <v>44</v>
      </c>
      <c r="M129">
        <f>IF(COUNTIFS($D$2:$D129, $D129, $H$2:$H129, $H129)=1, 1, 0)</f>
        <v>1</v>
      </c>
      <c r="N129">
        <f>_xlfn.IFNA(HLOOKUP($J129, fee_reference!$B$1:$E$2, 2, FALSE), 0)</f>
        <v>2.5000000000000001E-2</v>
      </c>
    </row>
    <row r="130" spans="1:14" x14ac:dyDescent="0.3">
      <c r="A130" s="2" t="s">
        <v>143</v>
      </c>
      <c r="B130">
        <v>279</v>
      </c>
      <c r="C130">
        <v>25</v>
      </c>
      <c r="D130" t="str">
        <f>IFERROR(VLOOKUP($C130,merchants!$A$2:$D$41,2,FALSE),"Merchant not found")</f>
        <v>Merchant_025</v>
      </c>
      <c r="E130" t="str">
        <f>IFERROR(VLOOKUP($C130, merchants!$A$2:$D$41, 4, FALSE), "Merchant not found")</f>
        <v>South</v>
      </c>
      <c r="F130" t="str">
        <f>IFERROR(VLOOKUP($C130, merchants!$A$2:$D$41, 3, FALSE), "Merchant not found")</f>
        <v>travel</v>
      </c>
      <c r="G130" s="1">
        <v>46033.741666666669</v>
      </c>
      <c r="H130" s="4">
        <f t="shared" ref="H130:H193" si="2">INT(G130)</f>
        <v>46033</v>
      </c>
      <c r="I130">
        <v>799</v>
      </c>
      <c r="J130" s="2" t="s">
        <v>12</v>
      </c>
      <c r="K130" s="2" t="s">
        <v>10</v>
      </c>
      <c r="L130">
        <v>58</v>
      </c>
      <c r="M130">
        <f>IF(COUNTIFS($D$2:$D130, $D130, $H$2:$H130, $H130)=1, 1, 0)</f>
        <v>1</v>
      </c>
      <c r="N130">
        <f>_xlfn.IFNA(HLOOKUP($J130, fee_reference!$B$1:$E$2, 2, FALSE), 0)</f>
        <v>0</v>
      </c>
    </row>
    <row r="131" spans="1:14" x14ac:dyDescent="0.3">
      <c r="A131" s="2" t="s">
        <v>144</v>
      </c>
      <c r="B131">
        <v>97</v>
      </c>
      <c r="C131">
        <v>16</v>
      </c>
      <c r="D131" t="str">
        <f>IFERROR(VLOOKUP($C131,merchants!$A$2:$D$41,2,FALSE),"Merchant not found")</f>
        <v>Merchant_016</v>
      </c>
      <c r="E131" t="str">
        <f>IFERROR(VLOOKUP($C131, merchants!$A$2:$D$41, 4, FALSE), "Merchant not found")</f>
        <v>West</v>
      </c>
      <c r="F131" t="str">
        <f>IFERROR(VLOOKUP($C131, merchants!$A$2:$D$41, 3, FALSE), "Merchant not found")</f>
        <v>bill_payment</v>
      </c>
      <c r="G131" s="1">
        <v>46052.454861111109</v>
      </c>
      <c r="H131" s="4">
        <f t="shared" si="2"/>
        <v>46052</v>
      </c>
      <c r="I131">
        <v>799</v>
      </c>
      <c r="J131" s="2" t="s">
        <v>24</v>
      </c>
      <c r="K131" s="2" t="s">
        <v>10</v>
      </c>
      <c r="L131">
        <v>73</v>
      </c>
      <c r="M131">
        <f>IF(COUNTIFS($D$2:$D131, $D131, $H$2:$H131, $H131)=1, 1, 0)</f>
        <v>0</v>
      </c>
      <c r="N131">
        <f>_xlfn.IFNA(HLOOKUP($J131, fee_reference!$B$1:$E$2, 2, FALSE), 0)</f>
        <v>2.5000000000000001E-2</v>
      </c>
    </row>
    <row r="132" spans="1:14" x14ac:dyDescent="0.3">
      <c r="A132" s="2" t="s">
        <v>145</v>
      </c>
      <c r="B132">
        <v>211</v>
      </c>
      <c r="C132">
        <v>3</v>
      </c>
      <c r="D132" t="str">
        <f>IFERROR(VLOOKUP($C132,merchants!$A$2:$D$41,2,FALSE),"Merchant not found")</f>
        <v>Merchant_003</v>
      </c>
      <c r="E132" t="str">
        <f>IFERROR(VLOOKUP($C132, merchants!$A$2:$D$41, 4, FALSE), "Merchant not found")</f>
        <v>East</v>
      </c>
      <c r="F132" t="str">
        <f>IFERROR(VLOOKUP($C132, merchants!$A$2:$D$41, 3, FALSE), "Merchant not found")</f>
        <v>grocery</v>
      </c>
      <c r="G132" s="1">
        <v>46035.32916666667</v>
      </c>
      <c r="H132" s="4">
        <f t="shared" si="2"/>
        <v>46035</v>
      </c>
      <c r="I132">
        <v>149</v>
      </c>
      <c r="J132" s="2" t="s">
        <v>12</v>
      </c>
      <c r="K132" s="2" t="s">
        <v>38</v>
      </c>
      <c r="L132">
        <v>40</v>
      </c>
      <c r="M132">
        <f>IF(COUNTIFS($D$2:$D132, $D132, $H$2:$H132, $H132)=1, 1, 0)</f>
        <v>0</v>
      </c>
      <c r="N132">
        <f>_xlfn.IFNA(HLOOKUP($J132, fee_reference!$B$1:$E$2, 2, FALSE), 0)</f>
        <v>0</v>
      </c>
    </row>
    <row r="133" spans="1:14" x14ac:dyDescent="0.3">
      <c r="A133" s="2" t="s">
        <v>146</v>
      </c>
      <c r="B133">
        <v>196</v>
      </c>
      <c r="C133">
        <v>25</v>
      </c>
      <c r="D133" t="str">
        <f>IFERROR(VLOOKUP($C133,merchants!$A$2:$D$41,2,FALSE),"Merchant not found")</f>
        <v>Merchant_025</v>
      </c>
      <c r="E133" t="str">
        <f>IFERROR(VLOOKUP($C133, merchants!$A$2:$D$41, 4, FALSE), "Merchant not found")</f>
        <v>South</v>
      </c>
      <c r="F133" t="str">
        <f>IFERROR(VLOOKUP($C133, merchants!$A$2:$D$41, 3, FALSE), "Merchant not found")</f>
        <v>travel</v>
      </c>
      <c r="G133" s="1">
        <v>46046.65625</v>
      </c>
      <c r="H133" s="4">
        <f t="shared" si="2"/>
        <v>46046</v>
      </c>
      <c r="I133">
        <v>149</v>
      </c>
      <c r="J133" s="2" t="s">
        <v>15</v>
      </c>
      <c r="K133" s="2" t="s">
        <v>10</v>
      </c>
      <c r="L133">
        <v>84</v>
      </c>
      <c r="M133">
        <f>IF(COUNTIFS($D$2:$D133, $D133, $H$2:$H133, $H133)=1, 1, 0)</f>
        <v>1</v>
      </c>
      <c r="N133">
        <f>_xlfn.IFNA(HLOOKUP($J133, fee_reference!$B$1:$E$2, 2, FALSE), 0)</f>
        <v>0.01</v>
      </c>
    </row>
    <row r="134" spans="1:14" x14ac:dyDescent="0.3">
      <c r="A134" s="2" t="s">
        <v>147</v>
      </c>
      <c r="B134">
        <v>254</v>
      </c>
      <c r="C134">
        <v>3</v>
      </c>
      <c r="D134" t="str">
        <f>IFERROR(VLOOKUP($C134,merchants!$A$2:$D$41,2,FALSE),"Merchant not found")</f>
        <v>Merchant_003</v>
      </c>
      <c r="E134" t="str">
        <f>IFERROR(VLOOKUP($C134, merchants!$A$2:$D$41, 4, FALSE), "Merchant not found")</f>
        <v>East</v>
      </c>
      <c r="F134" t="str">
        <f>IFERROR(VLOOKUP($C134, merchants!$A$2:$D$41, 3, FALSE), "Merchant not found")</f>
        <v>grocery</v>
      </c>
      <c r="G134" s="1">
        <v>46048.839583333334</v>
      </c>
      <c r="H134" s="4">
        <f t="shared" si="2"/>
        <v>46048</v>
      </c>
      <c r="I134">
        <v>149</v>
      </c>
      <c r="J134" s="2" t="s">
        <v>24</v>
      </c>
      <c r="K134" s="2" t="s">
        <v>10</v>
      </c>
      <c r="L134">
        <v>16</v>
      </c>
      <c r="M134">
        <f>IF(COUNTIFS($D$2:$D134, $D134, $H$2:$H134, $H134)=1, 1, 0)</f>
        <v>1</v>
      </c>
      <c r="N134">
        <f>_xlfn.IFNA(HLOOKUP($J134, fee_reference!$B$1:$E$2, 2, FALSE), 0)</f>
        <v>2.5000000000000001E-2</v>
      </c>
    </row>
    <row r="135" spans="1:14" x14ac:dyDescent="0.3">
      <c r="A135" s="2" t="s">
        <v>148</v>
      </c>
      <c r="B135">
        <v>52</v>
      </c>
      <c r="C135">
        <v>29</v>
      </c>
      <c r="D135" t="str">
        <f>IFERROR(VLOOKUP($C135,merchants!$A$2:$D$41,2,FALSE),"Merchant not found")</f>
        <v>Merchant_029</v>
      </c>
      <c r="E135" t="str">
        <f>IFERROR(VLOOKUP($C135, merchants!$A$2:$D$41, 4, FALSE), "Merchant not found")</f>
        <v>North</v>
      </c>
      <c r="F135" t="str">
        <f>IFERROR(VLOOKUP($C135, merchants!$A$2:$D$41, 3, FALSE), "Merchant not found")</f>
        <v>ecommerce</v>
      </c>
      <c r="G135" s="1">
        <v>46039.76458333333</v>
      </c>
      <c r="H135" s="4">
        <f t="shared" si="2"/>
        <v>46039</v>
      </c>
      <c r="I135">
        <v>49</v>
      </c>
      <c r="J135" s="2" t="s">
        <v>15</v>
      </c>
      <c r="K135" s="2" t="s">
        <v>10</v>
      </c>
      <c r="L135">
        <v>12</v>
      </c>
      <c r="M135">
        <f>IF(COUNTIFS($D$2:$D135, $D135, $H$2:$H135, $H135)=1, 1, 0)</f>
        <v>1</v>
      </c>
      <c r="N135">
        <f>_xlfn.IFNA(HLOOKUP($J135, fee_reference!$B$1:$E$2, 2, FALSE), 0)</f>
        <v>0.01</v>
      </c>
    </row>
    <row r="136" spans="1:14" x14ac:dyDescent="0.3">
      <c r="A136" s="2" t="s">
        <v>149</v>
      </c>
      <c r="B136">
        <v>74</v>
      </c>
      <c r="C136">
        <v>27</v>
      </c>
      <c r="D136" t="str">
        <f>IFERROR(VLOOKUP($C136,merchants!$A$2:$D$41,2,FALSE),"Merchant not found")</f>
        <v>Merchant_027</v>
      </c>
      <c r="E136" t="str">
        <f>IFERROR(VLOOKUP($C136, merchants!$A$2:$D$41, 4, FALSE), "Merchant not found")</f>
        <v>North</v>
      </c>
      <c r="F136" t="str">
        <f>IFERROR(VLOOKUP($C136, merchants!$A$2:$D$41, 3, FALSE), "Merchant not found")</f>
        <v>ecommerce</v>
      </c>
      <c r="G136" s="1">
        <v>46039.583333333336</v>
      </c>
      <c r="H136" s="4">
        <f t="shared" si="2"/>
        <v>46039</v>
      </c>
      <c r="I136">
        <v>799</v>
      </c>
      <c r="J136" s="2" t="s">
        <v>12</v>
      </c>
      <c r="K136" s="2" t="s">
        <v>10</v>
      </c>
      <c r="L136">
        <v>83</v>
      </c>
      <c r="M136">
        <f>IF(COUNTIFS($D$2:$D136, $D136, $H$2:$H136, $H136)=1, 1, 0)</f>
        <v>0</v>
      </c>
      <c r="N136">
        <f>_xlfn.IFNA(HLOOKUP($J136, fee_reference!$B$1:$E$2, 2, FALSE), 0)</f>
        <v>0</v>
      </c>
    </row>
    <row r="137" spans="1:14" x14ac:dyDescent="0.3">
      <c r="A137" s="2" t="s">
        <v>150</v>
      </c>
      <c r="B137">
        <v>136</v>
      </c>
      <c r="C137">
        <v>22</v>
      </c>
      <c r="D137" t="str">
        <f>IFERROR(VLOOKUP($C137,merchants!$A$2:$D$41,2,FALSE),"Merchant not found")</f>
        <v>Merchant_022</v>
      </c>
      <c r="E137" t="str">
        <f>IFERROR(VLOOKUP($C137, merchants!$A$2:$D$41, 4, FALSE), "Merchant not found")</f>
        <v>South</v>
      </c>
      <c r="F137" t="str">
        <f>IFERROR(VLOOKUP($C137, merchants!$A$2:$D$41, 3, FALSE), "Merchant not found")</f>
        <v>travel</v>
      </c>
      <c r="G137" s="1">
        <v>46027.104166666664</v>
      </c>
      <c r="H137" s="4">
        <f t="shared" si="2"/>
        <v>46027</v>
      </c>
      <c r="I137">
        <v>149</v>
      </c>
      <c r="J137" s="2" t="s">
        <v>12</v>
      </c>
      <c r="K137" s="2" t="s">
        <v>10</v>
      </c>
      <c r="L137">
        <v>79</v>
      </c>
      <c r="M137">
        <f>IF(COUNTIFS($D$2:$D137, $D137, $H$2:$H137, $H137)=1, 1, 0)</f>
        <v>1</v>
      </c>
      <c r="N137">
        <f>_xlfn.IFNA(HLOOKUP($J137, fee_reference!$B$1:$E$2, 2, FALSE), 0)</f>
        <v>0</v>
      </c>
    </row>
    <row r="138" spans="1:14" x14ac:dyDescent="0.3">
      <c r="A138" s="2" t="s">
        <v>151</v>
      </c>
      <c r="B138">
        <v>42</v>
      </c>
      <c r="C138">
        <v>22</v>
      </c>
      <c r="D138" t="str">
        <f>IFERROR(VLOOKUP($C138,merchants!$A$2:$D$41,2,FALSE),"Merchant not found")</f>
        <v>Merchant_022</v>
      </c>
      <c r="E138" t="str">
        <f>IFERROR(VLOOKUP($C138, merchants!$A$2:$D$41, 4, FALSE), "Merchant not found")</f>
        <v>South</v>
      </c>
      <c r="F138" t="str">
        <f>IFERROR(VLOOKUP($C138, merchants!$A$2:$D$41, 3, FALSE), "Merchant not found")</f>
        <v>travel</v>
      </c>
      <c r="G138" s="1">
        <v>46045.52847222222</v>
      </c>
      <c r="H138" s="4">
        <f t="shared" si="2"/>
        <v>46045</v>
      </c>
      <c r="I138">
        <v>49</v>
      </c>
      <c r="J138" s="2" t="s">
        <v>12</v>
      </c>
      <c r="K138" s="2" t="s">
        <v>10</v>
      </c>
      <c r="L138">
        <v>86</v>
      </c>
      <c r="M138">
        <f>IF(COUNTIFS($D$2:$D138, $D138, $H$2:$H138, $H138)=1, 1, 0)</f>
        <v>1</v>
      </c>
      <c r="N138">
        <f>_xlfn.IFNA(HLOOKUP($J138, fee_reference!$B$1:$E$2, 2, FALSE), 0)</f>
        <v>0</v>
      </c>
    </row>
    <row r="139" spans="1:14" x14ac:dyDescent="0.3">
      <c r="A139" s="2" t="s">
        <v>152</v>
      </c>
      <c r="B139">
        <v>163</v>
      </c>
      <c r="C139">
        <v>32</v>
      </c>
      <c r="D139" t="str">
        <f>IFERROR(VLOOKUP($C139,merchants!$A$2:$D$41,2,FALSE),"Merchant not found")</f>
        <v>Merchant_032</v>
      </c>
      <c r="E139" t="str">
        <f>IFERROR(VLOOKUP($C139, merchants!$A$2:$D$41, 4, FALSE), "Merchant not found")</f>
        <v>West</v>
      </c>
      <c r="F139" t="str">
        <f>IFERROR(VLOOKUP($C139, merchants!$A$2:$D$41, 3, FALSE), "Merchant not found")</f>
        <v>food_delivery</v>
      </c>
      <c r="G139" s="1">
        <v>46050.724999999999</v>
      </c>
      <c r="H139" s="4">
        <f t="shared" si="2"/>
        <v>46050</v>
      </c>
      <c r="I139">
        <v>2999</v>
      </c>
      <c r="J139" s="2" t="s">
        <v>9</v>
      </c>
      <c r="K139" s="2" t="s">
        <v>25</v>
      </c>
      <c r="L139">
        <v>69</v>
      </c>
      <c r="M139">
        <f>IF(COUNTIFS($D$2:$D139, $D139, $H$2:$H139, $H139)=1, 1, 0)</f>
        <v>1</v>
      </c>
      <c r="N139">
        <f>_xlfn.IFNA(HLOOKUP($J139, fee_reference!$B$1:$E$2, 2, FALSE), 0)</f>
        <v>1.4999999999999999E-2</v>
      </c>
    </row>
    <row r="140" spans="1:14" x14ac:dyDescent="0.3">
      <c r="A140" s="2" t="s">
        <v>153</v>
      </c>
      <c r="B140">
        <v>121</v>
      </c>
      <c r="C140">
        <v>19</v>
      </c>
      <c r="D140" t="str">
        <f>IFERROR(VLOOKUP($C140,merchants!$A$2:$D$41,2,FALSE),"Merchant not found")</f>
        <v>Merchant_019</v>
      </c>
      <c r="E140" t="str">
        <f>IFERROR(VLOOKUP($C140, merchants!$A$2:$D$41, 4, FALSE), "Merchant not found")</f>
        <v>North</v>
      </c>
      <c r="F140" t="str">
        <f>IFERROR(VLOOKUP($C140, merchants!$A$2:$D$41, 3, FALSE), "Merchant not found")</f>
        <v>grocery</v>
      </c>
      <c r="G140" s="1">
        <v>46024.794444444444</v>
      </c>
      <c r="H140" s="4">
        <f t="shared" si="2"/>
        <v>46024</v>
      </c>
      <c r="I140">
        <v>149</v>
      </c>
      <c r="J140" s="2" t="s">
        <v>12</v>
      </c>
      <c r="K140" s="2" t="s">
        <v>10</v>
      </c>
      <c r="L140">
        <v>29</v>
      </c>
      <c r="M140">
        <f>IF(COUNTIFS($D$2:$D140, $D140, $H$2:$H140, $H140)=1, 1, 0)</f>
        <v>1</v>
      </c>
      <c r="N140">
        <f>_xlfn.IFNA(HLOOKUP($J140, fee_reference!$B$1:$E$2, 2, FALSE), 0)</f>
        <v>0</v>
      </c>
    </row>
    <row r="141" spans="1:14" x14ac:dyDescent="0.3">
      <c r="A141" s="2" t="s">
        <v>154</v>
      </c>
      <c r="B141">
        <v>51</v>
      </c>
      <c r="C141">
        <v>7</v>
      </c>
      <c r="D141" t="str">
        <f>IFERROR(VLOOKUP($C141,merchants!$A$2:$D$41,2,FALSE),"Merchant not found")</f>
        <v>Merchant_007</v>
      </c>
      <c r="E141" t="str">
        <f>IFERROR(VLOOKUP($C141, merchants!$A$2:$D$41, 4, FALSE), "Merchant not found")</f>
        <v>East</v>
      </c>
      <c r="F141" t="str">
        <f>IFERROR(VLOOKUP($C141, merchants!$A$2:$D$41, 3, FALSE), "Merchant not found")</f>
        <v>food_delivery</v>
      </c>
      <c r="G141" s="1">
        <v>46046.102083333331</v>
      </c>
      <c r="H141" s="4">
        <f t="shared" si="2"/>
        <v>46046</v>
      </c>
      <c r="I141">
        <v>499</v>
      </c>
      <c r="J141" s="2" t="s">
        <v>24</v>
      </c>
      <c r="K141" s="2" t="s">
        <v>10</v>
      </c>
      <c r="L141">
        <v>56</v>
      </c>
      <c r="M141">
        <f>IF(COUNTIFS($D$2:$D141, $D141, $H$2:$H141, $H141)=1, 1, 0)</f>
        <v>1</v>
      </c>
      <c r="N141">
        <f>_xlfn.IFNA(HLOOKUP($J141, fee_reference!$B$1:$E$2, 2, FALSE), 0)</f>
        <v>2.5000000000000001E-2</v>
      </c>
    </row>
    <row r="142" spans="1:14" x14ac:dyDescent="0.3">
      <c r="A142" s="2" t="s">
        <v>155</v>
      </c>
      <c r="B142">
        <v>15</v>
      </c>
      <c r="C142">
        <v>3</v>
      </c>
      <c r="D142" t="str">
        <f>IFERROR(VLOOKUP($C142,merchants!$A$2:$D$41,2,FALSE),"Merchant not found")</f>
        <v>Merchant_003</v>
      </c>
      <c r="E142" t="str">
        <f>IFERROR(VLOOKUP($C142, merchants!$A$2:$D$41, 4, FALSE), "Merchant not found")</f>
        <v>East</v>
      </c>
      <c r="F142" t="str">
        <f>IFERROR(VLOOKUP($C142, merchants!$A$2:$D$41, 3, FALSE), "Merchant not found")</f>
        <v>grocery</v>
      </c>
      <c r="G142" s="1">
        <v>46028.929861111108</v>
      </c>
      <c r="H142" s="4">
        <f t="shared" si="2"/>
        <v>46028</v>
      </c>
      <c r="I142">
        <v>799</v>
      </c>
      <c r="J142" s="2" t="s">
        <v>12</v>
      </c>
      <c r="K142" s="2" t="s">
        <v>10</v>
      </c>
      <c r="L142">
        <v>41</v>
      </c>
      <c r="M142">
        <f>IF(COUNTIFS($D$2:$D142, $D142, $H$2:$H142, $H142)=1, 1, 0)</f>
        <v>0</v>
      </c>
      <c r="N142">
        <f>_xlfn.IFNA(HLOOKUP($J142, fee_reference!$B$1:$E$2, 2, FALSE), 0)</f>
        <v>0</v>
      </c>
    </row>
    <row r="143" spans="1:14" x14ac:dyDescent="0.3">
      <c r="A143" s="2" t="s">
        <v>156</v>
      </c>
      <c r="B143">
        <v>184</v>
      </c>
      <c r="C143">
        <v>24</v>
      </c>
      <c r="D143" t="str">
        <f>IFERROR(VLOOKUP($C143,merchants!$A$2:$D$41,2,FALSE),"Merchant not found")</f>
        <v>Merchant_024</v>
      </c>
      <c r="E143" t="str">
        <f>IFERROR(VLOOKUP($C143, merchants!$A$2:$D$41, 4, FALSE), "Merchant not found")</f>
        <v>North</v>
      </c>
      <c r="F143" t="str">
        <f>IFERROR(VLOOKUP($C143, merchants!$A$2:$D$41, 3, FALSE), "Merchant not found")</f>
        <v>grocery</v>
      </c>
      <c r="G143" s="1">
        <v>46048.054166666669</v>
      </c>
      <c r="H143" s="4">
        <f t="shared" si="2"/>
        <v>46048</v>
      </c>
      <c r="I143">
        <v>49</v>
      </c>
      <c r="J143" s="2" t="s">
        <v>12</v>
      </c>
      <c r="K143" s="2" t="s">
        <v>10</v>
      </c>
      <c r="L143">
        <v>55</v>
      </c>
      <c r="M143">
        <f>IF(COUNTIFS($D$2:$D143, $D143, $H$2:$H143, $H143)=1, 1, 0)</f>
        <v>1</v>
      </c>
      <c r="N143">
        <f>_xlfn.IFNA(HLOOKUP($J143, fee_reference!$B$1:$E$2, 2, FALSE), 0)</f>
        <v>0</v>
      </c>
    </row>
    <row r="144" spans="1:14" x14ac:dyDescent="0.3">
      <c r="A144" s="2" t="s">
        <v>157</v>
      </c>
      <c r="B144">
        <v>211</v>
      </c>
      <c r="C144">
        <v>37</v>
      </c>
      <c r="D144" t="str">
        <f>IFERROR(VLOOKUP($C144,merchants!$A$2:$D$41,2,FALSE),"Merchant not found")</f>
        <v>Merchant_037</v>
      </c>
      <c r="E144" t="str">
        <f>IFERROR(VLOOKUP($C144, merchants!$A$2:$D$41, 4, FALSE), "Merchant not found")</f>
        <v>South</v>
      </c>
      <c r="F144" t="str">
        <f>IFERROR(VLOOKUP($C144, merchants!$A$2:$D$41, 3, FALSE), "Merchant not found")</f>
        <v>entertainment</v>
      </c>
      <c r="G144" s="1">
        <v>46027.314583333333</v>
      </c>
      <c r="H144" s="4">
        <f t="shared" si="2"/>
        <v>46027</v>
      </c>
      <c r="I144">
        <v>1499</v>
      </c>
      <c r="J144" s="2" t="s">
        <v>12</v>
      </c>
      <c r="K144" s="2" t="s">
        <v>10</v>
      </c>
      <c r="L144">
        <v>87</v>
      </c>
      <c r="M144">
        <f>IF(COUNTIFS($D$2:$D144, $D144, $H$2:$H144, $H144)=1, 1, 0)</f>
        <v>1</v>
      </c>
      <c r="N144">
        <f>_xlfn.IFNA(HLOOKUP($J144, fee_reference!$B$1:$E$2, 2, FALSE), 0)</f>
        <v>0</v>
      </c>
    </row>
    <row r="145" spans="1:14" x14ac:dyDescent="0.3">
      <c r="A145" s="2" t="s">
        <v>158</v>
      </c>
      <c r="B145">
        <v>90</v>
      </c>
      <c r="C145">
        <v>6</v>
      </c>
      <c r="D145" t="str">
        <f>IFERROR(VLOOKUP($C145,merchants!$A$2:$D$41,2,FALSE),"Merchant not found")</f>
        <v>Merchant_006</v>
      </c>
      <c r="E145" t="str">
        <f>IFERROR(VLOOKUP($C145, merchants!$A$2:$D$41, 4, FALSE), "Merchant not found")</f>
        <v>South</v>
      </c>
      <c r="F145" t="str">
        <f>IFERROR(VLOOKUP($C145, merchants!$A$2:$D$41, 3, FALSE), "Merchant not found")</f>
        <v>food_delivery</v>
      </c>
      <c r="G145" s="1">
        <v>46048.215277777781</v>
      </c>
      <c r="H145" s="4">
        <f t="shared" si="2"/>
        <v>46048</v>
      </c>
      <c r="I145">
        <v>49</v>
      </c>
      <c r="J145" s="2" t="s">
        <v>24</v>
      </c>
      <c r="K145" s="2" t="s">
        <v>10</v>
      </c>
      <c r="L145">
        <v>78</v>
      </c>
      <c r="M145">
        <f>IF(COUNTIFS($D$2:$D145, $D145, $H$2:$H145, $H145)=1, 1, 0)</f>
        <v>0</v>
      </c>
      <c r="N145">
        <f>_xlfn.IFNA(HLOOKUP($J145, fee_reference!$B$1:$E$2, 2, FALSE), 0)</f>
        <v>2.5000000000000001E-2</v>
      </c>
    </row>
    <row r="146" spans="1:14" x14ac:dyDescent="0.3">
      <c r="A146" s="2" t="s">
        <v>159</v>
      </c>
      <c r="B146">
        <v>350</v>
      </c>
      <c r="C146">
        <v>16</v>
      </c>
      <c r="D146" t="str">
        <f>IFERROR(VLOOKUP($C146,merchants!$A$2:$D$41,2,FALSE),"Merchant not found")</f>
        <v>Merchant_016</v>
      </c>
      <c r="E146" t="str">
        <f>IFERROR(VLOOKUP($C146, merchants!$A$2:$D$41, 4, FALSE), "Merchant not found")</f>
        <v>West</v>
      </c>
      <c r="F146" t="str">
        <f>IFERROR(VLOOKUP($C146, merchants!$A$2:$D$41, 3, FALSE), "Merchant not found")</f>
        <v>bill_payment</v>
      </c>
      <c r="G146" s="1">
        <v>46050.527083333334</v>
      </c>
      <c r="H146" s="4">
        <f t="shared" si="2"/>
        <v>46050</v>
      </c>
      <c r="I146">
        <v>49</v>
      </c>
      <c r="J146" s="2" t="s">
        <v>12</v>
      </c>
      <c r="K146" s="2" t="s">
        <v>10</v>
      </c>
      <c r="L146">
        <v>63</v>
      </c>
      <c r="M146">
        <f>IF(COUNTIFS($D$2:$D146, $D146, $H$2:$H146, $H146)=1, 1, 0)</f>
        <v>1</v>
      </c>
      <c r="N146">
        <f>_xlfn.IFNA(HLOOKUP($J146, fee_reference!$B$1:$E$2, 2, FALSE), 0)</f>
        <v>0</v>
      </c>
    </row>
    <row r="147" spans="1:14" x14ac:dyDescent="0.3">
      <c r="A147" s="2" t="s">
        <v>160</v>
      </c>
      <c r="B147">
        <v>119</v>
      </c>
      <c r="C147">
        <v>30</v>
      </c>
      <c r="D147" t="str">
        <f>IFERROR(VLOOKUP($C147,merchants!$A$2:$D$41,2,FALSE),"Merchant not found")</f>
        <v>Merchant_030</v>
      </c>
      <c r="E147" t="str">
        <f>IFERROR(VLOOKUP($C147, merchants!$A$2:$D$41, 4, FALSE), "Merchant not found")</f>
        <v>West</v>
      </c>
      <c r="F147" t="str">
        <f>IFERROR(VLOOKUP($C147, merchants!$A$2:$D$41, 3, FALSE), "Merchant not found")</f>
        <v>travel</v>
      </c>
      <c r="G147" s="1">
        <v>46052.756249999999</v>
      </c>
      <c r="H147" s="4">
        <f t="shared" si="2"/>
        <v>46052</v>
      </c>
      <c r="I147">
        <v>49</v>
      </c>
      <c r="J147" s="2" t="s">
        <v>24</v>
      </c>
      <c r="K147" s="2" t="s">
        <v>10</v>
      </c>
      <c r="L147">
        <v>81</v>
      </c>
      <c r="M147">
        <f>IF(COUNTIFS($D$2:$D147, $D147, $H$2:$H147, $H147)=1, 1, 0)</f>
        <v>1</v>
      </c>
      <c r="N147">
        <f>_xlfn.IFNA(HLOOKUP($J147, fee_reference!$B$1:$E$2, 2, FALSE), 0)</f>
        <v>2.5000000000000001E-2</v>
      </c>
    </row>
    <row r="148" spans="1:14" x14ac:dyDescent="0.3">
      <c r="A148" s="2" t="s">
        <v>161</v>
      </c>
      <c r="B148">
        <v>342</v>
      </c>
      <c r="C148">
        <v>1</v>
      </c>
      <c r="D148" t="str">
        <f>IFERROR(VLOOKUP($C148,merchants!$A$2:$D$41,2,FALSE),"Merchant not found")</f>
        <v>Merchant_001</v>
      </c>
      <c r="E148" t="str">
        <f>IFERROR(VLOOKUP($C148, merchants!$A$2:$D$41, 4, FALSE), "Merchant not found")</f>
        <v>South</v>
      </c>
      <c r="F148" t="str">
        <f>IFERROR(VLOOKUP($C148, merchants!$A$2:$D$41, 3, FALSE), "Merchant not found")</f>
        <v>ecommerce</v>
      </c>
      <c r="G148" s="1">
        <v>46031.594444444447</v>
      </c>
      <c r="H148" s="4">
        <f t="shared" si="2"/>
        <v>46031</v>
      </c>
      <c r="I148">
        <v>49</v>
      </c>
      <c r="J148" s="2" t="s">
        <v>12</v>
      </c>
      <c r="K148" s="2" t="s">
        <v>10</v>
      </c>
      <c r="L148">
        <v>59</v>
      </c>
      <c r="M148">
        <f>IF(COUNTIFS($D$2:$D148, $D148, $H$2:$H148, $H148)=1, 1, 0)</f>
        <v>1</v>
      </c>
      <c r="N148">
        <f>_xlfn.IFNA(HLOOKUP($J148, fee_reference!$B$1:$E$2, 2, FALSE), 0)</f>
        <v>0</v>
      </c>
    </row>
    <row r="149" spans="1:14" x14ac:dyDescent="0.3">
      <c r="A149" s="2" t="s">
        <v>162</v>
      </c>
      <c r="B149">
        <v>280</v>
      </c>
      <c r="C149">
        <v>11</v>
      </c>
      <c r="D149" t="str">
        <f>IFERROR(VLOOKUP($C149,merchants!$A$2:$D$41,2,FALSE),"Merchant not found")</f>
        <v>Merchant_011</v>
      </c>
      <c r="E149" t="str">
        <f>IFERROR(VLOOKUP($C149, merchants!$A$2:$D$41, 4, FALSE), "Merchant not found")</f>
        <v>North</v>
      </c>
      <c r="F149" t="str">
        <f>IFERROR(VLOOKUP($C149, merchants!$A$2:$D$41, 3, FALSE), "Merchant not found")</f>
        <v>ecommerce</v>
      </c>
      <c r="G149" s="1">
        <v>46051.404861111114</v>
      </c>
      <c r="H149" s="4">
        <f t="shared" si="2"/>
        <v>46051</v>
      </c>
      <c r="I149">
        <v>149</v>
      </c>
      <c r="J149" s="2" t="s">
        <v>12</v>
      </c>
      <c r="K149" s="2" t="s">
        <v>38</v>
      </c>
      <c r="L149">
        <v>9</v>
      </c>
      <c r="M149">
        <f>IF(COUNTIFS($D$2:$D149, $D149, $H$2:$H149, $H149)=1, 1, 0)</f>
        <v>1</v>
      </c>
      <c r="N149">
        <f>_xlfn.IFNA(HLOOKUP($J149, fee_reference!$B$1:$E$2, 2, FALSE), 0)</f>
        <v>0</v>
      </c>
    </row>
    <row r="150" spans="1:14" x14ac:dyDescent="0.3">
      <c r="A150" s="2" t="s">
        <v>163</v>
      </c>
      <c r="B150">
        <v>154</v>
      </c>
      <c r="C150">
        <v>28</v>
      </c>
      <c r="D150" t="str">
        <f>IFERROR(VLOOKUP($C150,merchants!$A$2:$D$41,2,FALSE),"Merchant not found")</f>
        <v>Merchant_028</v>
      </c>
      <c r="E150" t="str">
        <f>IFERROR(VLOOKUP($C150, merchants!$A$2:$D$41, 4, FALSE), "Merchant not found")</f>
        <v>South</v>
      </c>
      <c r="F150" t="str">
        <f>IFERROR(VLOOKUP($C150, merchants!$A$2:$D$41, 3, FALSE), "Merchant not found")</f>
        <v>ecommerce</v>
      </c>
      <c r="G150" s="1">
        <v>46037.484027777777</v>
      </c>
      <c r="H150" s="4">
        <f t="shared" si="2"/>
        <v>46037</v>
      </c>
      <c r="I150">
        <v>2999</v>
      </c>
      <c r="J150" s="2" t="s">
        <v>15</v>
      </c>
      <c r="K150" s="2" t="s">
        <v>10</v>
      </c>
      <c r="L150">
        <v>88</v>
      </c>
      <c r="M150">
        <f>IF(COUNTIFS($D$2:$D150, $D150, $H$2:$H150, $H150)=1, 1, 0)</f>
        <v>1</v>
      </c>
      <c r="N150">
        <f>_xlfn.IFNA(HLOOKUP($J150, fee_reference!$B$1:$E$2, 2, FALSE), 0)</f>
        <v>0.01</v>
      </c>
    </row>
    <row r="151" spans="1:14" x14ac:dyDescent="0.3">
      <c r="A151" s="2" t="s">
        <v>164</v>
      </c>
      <c r="B151">
        <v>155</v>
      </c>
      <c r="C151">
        <v>13</v>
      </c>
      <c r="D151" t="str">
        <f>IFERROR(VLOOKUP($C151,merchants!$A$2:$D$41,2,FALSE),"Merchant not found")</f>
        <v>Merchant_013</v>
      </c>
      <c r="E151" t="str">
        <f>IFERROR(VLOOKUP($C151, merchants!$A$2:$D$41, 4, FALSE), "Merchant not found")</f>
        <v>East</v>
      </c>
      <c r="F151" t="str">
        <f>IFERROR(VLOOKUP($C151, merchants!$A$2:$D$41, 3, FALSE), "Merchant not found")</f>
        <v>travel</v>
      </c>
      <c r="G151" s="1">
        <v>46031.620833333334</v>
      </c>
      <c r="H151" s="4">
        <f t="shared" si="2"/>
        <v>46031</v>
      </c>
      <c r="I151">
        <v>149</v>
      </c>
      <c r="J151" s="2" t="s">
        <v>12</v>
      </c>
      <c r="K151" s="2" t="s">
        <v>10</v>
      </c>
      <c r="L151">
        <v>49</v>
      </c>
      <c r="M151">
        <f>IF(COUNTIFS($D$2:$D151, $D151, $H$2:$H151, $H151)=1, 1, 0)</f>
        <v>1</v>
      </c>
      <c r="N151">
        <f>_xlfn.IFNA(HLOOKUP($J151, fee_reference!$B$1:$E$2, 2, FALSE), 0)</f>
        <v>0</v>
      </c>
    </row>
    <row r="152" spans="1:14" x14ac:dyDescent="0.3">
      <c r="A152" s="2" t="s">
        <v>165</v>
      </c>
      <c r="B152">
        <v>122</v>
      </c>
      <c r="C152">
        <v>25</v>
      </c>
      <c r="D152" t="str">
        <f>IFERROR(VLOOKUP($C152,merchants!$A$2:$D$41,2,FALSE),"Merchant not found")</f>
        <v>Merchant_025</v>
      </c>
      <c r="E152" t="str">
        <f>IFERROR(VLOOKUP($C152, merchants!$A$2:$D$41, 4, FALSE), "Merchant not found")</f>
        <v>South</v>
      </c>
      <c r="F152" t="str">
        <f>IFERROR(VLOOKUP($C152, merchants!$A$2:$D$41, 3, FALSE), "Merchant not found")</f>
        <v>travel</v>
      </c>
      <c r="G152" s="1">
        <v>46050.629166666666</v>
      </c>
      <c r="H152" s="4">
        <f t="shared" si="2"/>
        <v>46050</v>
      </c>
      <c r="I152">
        <v>299</v>
      </c>
      <c r="J152" s="2" t="s">
        <v>12</v>
      </c>
      <c r="K152" s="2" t="s">
        <v>10</v>
      </c>
      <c r="L152">
        <v>73</v>
      </c>
      <c r="M152">
        <f>IF(COUNTIFS($D$2:$D152, $D152, $H$2:$H152, $H152)=1, 1, 0)</f>
        <v>1</v>
      </c>
      <c r="N152">
        <f>_xlfn.IFNA(HLOOKUP($J152, fee_reference!$B$1:$E$2, 2, FALSE), 0)</f>
        <v>0</v>
      </c>
    </row>
    <row r="153" spans="1:14" x14ac:dyDescent="0.3">
      <c r="A153" s="2" t="s">
        <v>166</v>
      </c>
      <c r="B153">
        <v>152</v>
      </c>
      <c r="C153">
        <v>2</v>
      </c>
      <c r="D153" t="str">
        <f>IFERROR(VLOOKUP($C153,merchants!$A$2:$D$41,2,FALSE),"Merchant not found")</f>
        <v>Merchant_002</v>
      </c>
      <c r="E153" t="str">
        <f>IFERROR(VLOOKUP($C153, merchants!$A$2:$D$41, 4, FALSE), "Merchant not found")</f>
        <v>West</v>
      </c>
      <c r="F153" t="str">
        <f>IFERROR(VLOOKUP($C153, merchants!$A$2:$D$41, 3, FALSE), "Merchant not found")</f>
        <v>grocery</v>
      </c>
      <c r="G153" s="1">
        <v>46034.762499999997</v>
      </c>
      <c r="H153" s="4">
        <f t="shared" si="2"/>
        <v>46034</v>
      </c>
      <c r="I153">
        <v>49</v>
      </c>
      <c r="J153" s="2" t="s">
        <v>12</v>
      </c>
      <c r="K153" s="2" t="s">
        <v>10</v>
      </c>
      <c r="L153">
        <v>84</v>
      </c>
      <c r="M153">
        <f>IF(COUNTIFS($D$2:$D153, $D153, $H$2:$H153, $H153)=1, 1, 0)</f>
        <v>1</v>
      </c>
      <c r="N153">
        <f>_xlfn.IFNA(HLOOKUP($J153, fee_reference!$B$1:$E$2, 2, FALSE), 0)</f>
        <v>0</v>
      </c>
    </row>
    <row r="154" spans="1:14" x14ac:dyDescent="0.3">
      <c r="A154" s="2" t="s">
        <v>167</v>
      </c>
      <c r="B154">
        <v>290</v>
      </c>
      <c r="C154">
        <v>4</v>
      </c>
      <c r="D154" t="str">
        <f>IFERROR(VLOOKUP($C154,merchants!$A$2:$D$41,2,FALSE),"Merchant not found")</f>
        <v>Merchant_004</v>
      </c>
      <c r="E154" t="str">
        <f>IFERROR(VLOOKUP($C154, merchants!$A$2:$D$41, 4, FALSE), "Merchant not found")</f>
        <v>East</v>
      </c>
      <c r="F154" t="str">
        <f>IFERROR(VLOOKUP($C154, merchants!$A$2:$D$41, 3, FALSE), "Merchant not found")</f>
        <v>ecommerce</v>
      </c>
      <c r="G154" s="1">
        <v>46035.333333333336</v>
      </c>
      <c r="H154" s="4">
        <f t="shared" si="2"/>
        <v>46035</v>
      </c>
      <c r="I154">
        <v>149</v>
      </c>
      <c r="J154" s="2" t="s">
        <v>12</v>
      </c>
      <c r="K154" s="2" t="s">
        <v>10</v>
      </c>
      <c r="L154">
        <v>77</v>
      </c>
      <c r="M154">
        <f>IF(COUNTIFS($D$2:$D154, $D154, $H$2:$H154, $H154)=1, 1, 0)</f>
        <v>0</v>
      </c>
      <c r="N154">
        <f>_xlfn.IFNA(HLOOKUP($J154, fee_reference!$B$1:$E$2, 2, FALSE), 0)</f>
        <v>0</v>
      </c>
    </row>
    <row r="155" spans="1:14" x14ac:dyDescent="0.3">
      <c r="A155" s="2" t="s">
        <v>168</v>
      </c>
      <c r="B155">
        <v>147</v>
      </c>
      <c r="C155">
        <v>15</v>
      </c>
      <c r="D155" t="str">
        <f>IFERROR(VLOOKUP($C155,merchants!$A$2:$D$41,2,FALSE),"Merchant not found")</f>
        <v>Merchant_015</v>
      </c>
      <c r="E155" t="str">
        <f>IFERROR(VLOOKUP($C155, merchants!$A$2:$D$41, 4, FALSE), "Merchant not found")</f>
        <v>North</v>
      </c>
      <c r="F155" t="str">
        <f>IFERROR(VLOOKUP($C155, merchants!$A$2:$D$41, 3, FALSE), "Merchant not found")</f>
        <v>travel</v>
      </c>
      <c r="G155" s="1">
        <v>46046.661805555559</v>
      </c>
      <c r="H155" s="4">
        <f t="shared" si="2"/>
        <v>46046</v>
      </c>
      <c r="I155">
        <v>49</v>
      </c>
      <c r="J155" s="2" t="s">
        <v>9</v>
      </c>
      <c r="K155" s="2" t="s">
        <v>10</v>
      </c>
      <c r="L155">
        <v>77</v>
      </c>
      <c r="M155">
        <f>IF(COUNTIFS($D$2:$D155, $D155, $H$2:$H155, $H155)=1, 1, 0)</f>
        <v>0</v>
      </c>
      <c r="N155">
        <f>_xlfn.IFNA(HLOOKUP($J155, fee_reference!$B$1:$E$2, 2, FALSE), 0)</f>
        <v>1.4999999999999999E-2</v>
      </c>
    </row>
    <row r="156" spans="1:14" x14ac:dyDescent="0.3">
      <c r="A156" s="2" t="s">
        <v>169</v>
      </c>
      <c r="B156">
        <v>326</v>
      </c>
      <c r="C156">
        <v>13</v>
      </c>
      <c r="D156" t="str">
        <f>IFERROR(VLOOKUP($C156,merchants!$A$2:$D$41,2,FALSE),"Merchant not found")</f>
        <v>Merchant_013</v>
      </c>
      <c r="E156" t="str">
        <f>IFERROR(VLOOKUP($C156, merchants!$A$2:$D$41, 4, FALSE), "Merchant not found")</f>
        <v>East</v>
      </c>
      <c r="F156" t="str">
        <f>IFERROR(VLOOKUP($C156, merchants!$A$2:$D$41, 3, FALSE), "Merchant not found")</f>
        <v>travel</v>
      </c>
      <c r="G156" s="1">
        <v>46048.468055555553</v>
      </c>
      <c r="H156" s="4">
        <f t="shared" si="2"/>
        <v>46048</v>
      </c>
      <c r="I156">
        <v>299</v>
      </c>
      <c r="J156" s="2" t="s">
        <v>15</v>
      </c>
      <c r="K156" s="2" t="s">
        <v>10</v>
      </c>
      <c r="L156">
        <v>79</v>
      </c>
      <c r="M156">
        <f>IF(COUNTIFS($D$2:$D156, $D156, $H$2:$H156, $H156)=1, 1, 0)</f>
        <v>1</v>
      </c>
      <c r="N156">
        <f>_xlfn.IFNA(HLOOKUP($J156, fee_reference!$B$1:$E$2, 2, FALSE), 0)</f>
        <v>0.01</v>
      </c>
    </row>
    <row r="157" spans="1:14" x14ac:dyDescent="0.3">
      <c r="A157" s="2" t="s">
        <v>170</v>
      </c>
      <c r="B157">
        <v>338</v>
      </c>
      <c r="C157">
        <v>9</v>
      </c>
      <c r="D157" t="str">
        <f>IFERROR(VLOOKUP($C157,merchants!$A$2:$D$41,2,FALSE),"Merchant not found")</f>
        <v>Merchant_009</v>
      </c>
      <c r="E157" t="str">
        <f>IFERROR(VLOOKUP($C157, merchants!$A$2:$D$41, 4, FALSE), "Merchant not found")</f>
        <v>North</v>
      </c>
      <c r="F157" t="str">
        <f>IFERROR(VLOOKUP($C157, merchants!$A$2:$D$41, 3, FALSE), "Merchant not found")</f>
        <v>ecommerce</v>
      </c>
      <c r="G157" s="1">
        <v>46031.908333333333</v>
      </c>
      <c r="H157" s="4">
        <f t="shared" si="2"/>
        <v>46031</v>
      </c>
      <c r="I157">
        <v>99</v>
      </c>
      <c r="J157" s="2" t="s">
        <v>24</v>
      </c>
      <c r="K157" s="2" t="s">
        <v>10</v>
      </c>
      <c r="L157">
        <v>80</v>
      </c>
      <c r="M157">
        <f>IF(COUNTIFS($D$2:$D157, $D157, $H$2:$H157, $H157)=1, 1, 0)</f>
        <v>1</v>
      </c>
      <c r="N157">
        <f>_xlfn.IFNA(HLOOKUP($J157, fee_reference!$B$1:$E$2, 2, FALSE), 0)</f>
        <v>2.5000000000000001E-2</v>
      </c>
    </row>
    <row r="158" spans="1:14" x14ac:dyDescent="0.3">
      <c r="A158" s="2" t="s">
        <v>171</v>
      </c>
      <c r="B158">
        <v>21</v>
      </c>
      <c r="C158">
        <v>20</v>
      </c>
      <c r="D158" t="str">
        <f>IFERROR(VLOOKUP($C158,merchants!$A$2:$D$41,2,FALSE),"Merchant not found")</f>
        <v>Merchant_020</v>
      </c>
      <c r="E158" t="str">
        <f>IFERROR(VLOOKUP($C158, merchants!$A$2:$D$41, 4, FALSE), "Merchant not found")</f>
        <v>East</v>
      </c>
      <c r="F158" t="str">
        <f>IFERROR(VLOOKUP($C158, merchants!$A$2:$D$41, 3, FALSE), "Merchant not found")</f>
        <v>food_delivery</v>
      </c>
      <c r="G158" s="1">
        <v>46026.861805555556</v>
      </c>
      <c r="H158" s="4">
        <f t="shared" si="2"/>
        <v>46026</v>
      </c>
      <c r="I158">
        <v>2999</v>
      </c>
      <c r="J158" s="2" t="s">
        <v>12</v>
      </c>
      <c r="K158" s="2" t="s">
        <v>10</v>
      </c>
      <c r="L158">
        <v>100</v>
      </c>
      <c r="M158">
        <f>IF(COUNTIFS($D$2:$D158, $D158, $H$2:$H158, $H158)=1, 1, 0)</f>
        <v>1</v>
      </c>
      <c r="N158">
        <f>_xlfn.IFNA(HLOOKUP($J158, fee_reference!$B$1:$E$2, 2, FALSE), 0)</f>
        <v>0</v>
      </c>
    </row>
    <row r="159" spans="1:14" x14ac:dyDescent="0.3">
      <c r="A159" s="2" t="s">
        <v>172</v>
      </c>
      <c r="B159">
        <v>187</v>
      </c>
      <c r="C159">
        <v>9</v>
      </c>
      <c r="D159" t="str">
        <f>IFERROR(VLOOKUP($C159,merchants!$A$2:$D$41,2,FALSE),"Merchant not found")</f>
        <v>Merchant_009</v>
      </c>
      <c r="E159" t="str">
        <f>IFERROR(VLOOKUP($C159, merchants!$A$2:$D$41, 4, FALSE), "Merchant not found")</f>
        <v>North</v>
      </c>
      <c r="F159" t="str">
        <f>IFERROR(VLOOKUP($C159, merchants!$A$2:$D$41, 3, FALSE), "Merchant not found")</f>
        <v>ecommerce</v>
      </c>
      <c r="G159" s="1">
        <v>46037.067361111112</v>
      </c>
      <c r="H159" s="4">
        <f t="shared" si="2"/>
        <v>46037</v>
      </c>
      <c r="I159">
        <v>49</v>
      </c>
      <c r="J159" s="2" t="s">
        <v>24</v>
      </c>
      <c r="K159" s="2" t="s">
        <v>25</v>
      </c>
      <c r="L159">
        <v>11</v>
      </c>
      <c r="M159">
        <f>IF(COUNTIFS($D$2:$D159, $D159, $H$2:$H159, $H159)=1, 1, 0)</f>
        <v>1</v>
      </c>
      <c r="N159">
        <f>_xlfn.IFNA(HLOOKUP($J159, fee_reference!$B$1:$E$2, 2, FALSE), 0)</f>
        <v>2.5000000000000001E-2</v>
      </c>
    </row>
    <row r="160" spans="1:14" x14ac:dyDescent="0.3">
      <c r="A160" s="2" t="s">
        <v>173</v>
      </c>
      <c r="B160">
        <v>213</v>
      </c>
      <c r="C160">
        <v>12</v>
      </c>
      <c r="D160" t="str">
        <f>IFERROR(VLOOKUP($C160,merchants!$A$2:$D$41,2,FALSE),"Merchant not found")</f>
        <v>Merchant_012</v>
      </c>
      <c r="E160" t="str">
        <f>IFERROR(VLOOKUP($C160, merchants!$A$2:$D$41, 4, FALSE), "Merchant not found")</f>
        <v>East</v>
      </c>
      <c r="F160" t="str">
        <f>IFERROR(VLOOKUP($C160, merchants!$A$2:$D$41, 3, FALSE), "Merchant not found")</f>
        <v>ecommerce</v>
      </c>
      <c r="G160" s="1">
        <v>46052.388888888891</v>
      </c>
      <c r="H160" s="4">
        <f t="shared" si="2"/>
        <v>46052</v>
      </c>
      <c r="I160">
        <v>4999</v>
      </c>
      <c r="J160" s="2" t="s">
        <v>12</v>
      </c>
      <c r="K160" s="2" t="s">
        <v>10</v>
      </c>
      <c r="L160">
        <v>25</v>
      </c>
      <c r="M160">
        <f>IF(COUNTIFS($D$2:$D160, $D160, $H$2:$H160, $H160)=1, 1, 0)</f>
        <v>1</v>
      </c>
      <c r="N160">
        <f>_xlfn.IFNA(HLOOKUP($J160, fee_reference!$B$1:$E$2, 2, FALSE), 0)</f>
        <v>0</v>
      </c>
    </row>
    <row r="161" spans="1:14" x14ac:dyDescent="0.3">
      <c r="A161" s="2" t="s">
        <v>174</v>
      </c>
      <c r="B161">
        <v>188</v>
      </c>
      <c r="C161">
        <v>34</v>
      </c>
      <c r="D161" t="str">
        <f>IFERROR(VLOOKUP($C161,merchants!$A$2:$D$41,2,FALSE),"Merchant not found")</f>
        <v>Merchant_034</v>
      </c>
      <c r="E161" t="str">
        <f>IFERROR(VLOOKUP($C161, merchants!$A$2:$D$41, 4, FALSE), "Merchant not found")</f>
        <v>South</v>
      </c>
      <c r="F161" t="str">
        <f>IFERROR(VLOOKUP($C161, merchants!$A$2:$D$41, 3, FALSE), "Merchant not found")</f>
        <v>travel</v>
      </c>
      <c r="G161" s="1">
        <v>46027.74722222222</v>
      </c>
      <c r="H161" s="4">
        <f t="shared" si="2"/>
        <v>46027</v>
      </c>
      <c r="I161">
        <v>2999</v>
      </c>
      <c r="J161" s="2" t="s">
        <v>12</v>
      </c>
      <c r="K161" s="2" t="s">
        <v>10</v>
      </c>
      <c r="L161">
        <v>64</v>
      </c>
      <c r="M161">
        <f>IF(COUNTIFS($D$2:$D161, $D161, $H$2:$H161, $H161)=1, 1, 0)</f>
        <v>1</v>
      </c>
      <c r="N161">
        <f>_xlfn.IFNA(HLOOKUP($J161, fee_reference!$B$1:$E$2, 2, FALSE), 0)</f>
        <v>0</v>
      </c>
    </row>
    <row r="162" spans="1:14" x14ac:dyDescent="0.3">
      <c r="A162" s="2" t="s">
        <v>175</v>
      </c>
      <c r="B162">
        <v>85</v>
      </c>
      <c r="C162">
        <v>17</v>
      </c>
      <c r="D162" t="str">
        <f>IFERROR(VLOOKUP($C162,merchants!$A$2:$D$41,2,FALSE),"Merchant not found")</f>
        <v>Merchant_017</v>
      </c>
      <c r="E162" t="str">
        <f>IFERROR(VLOOKUP($C162, merchants!$A$2:$D$41, 4, FALSE), "Merchant not found")</f>
        <v>North</v>
      </c>
      <c r="F162" t="str">
        <f>IFERROR(VLOOKUP($C162, merchants!$A$2:$D$41, 3, FALSE), "Merchant not found")</f>
        <v>grocery</v>
      </c>
      <c r="G162" s="1">
        <v>46052.370138888888</v>
      </c>
      <c r="H162" s="4">
        <f t="shared" si="2"/>
        <v>46052</v>
      </c>
      <c r="I162">
        <v>499</v>
      </c>
      <c r="J162" s="2" t="s">
        <v>12</v>
      </c>
      <c r="K162" s="2" t="s">
        <v>10</v>
      </c>
      <c r="L162">
        <v>61</v>
      </c>
      <c r="M162">
        <f>IF(COUNTIFS($D$2:$D162, $D162, $H$2:$H162, $H162)=1, 1, 0)</f>
        <v>1</v>
      </c>
      <c r="N162">
        <f>_xlfn.IFNA(HLOOKUP($J162, fee_reference!$B$1:$E$2, 2, FALSE), 0)</f>
        <v>0</v>
      </c>
    </row>
    <row r="163" spans="1:14" x14ac:dyDescent="0.3">
      <c r="A163" s="2" t="s">
        <v>176</v>
      </c>
      <c r="B163">
        <v>174</v>
      </c>
      <c r="C163">
        <v>8</v>
      </c>
      <c r="D163" t="str">
        <f>IFERROR(VLOOKUP($C163,merchants!$A$2:$D$41,2,FALSE),"Merchant not found")</f>
        <v>Merchant_008</v>
      </c>
      <c r="E163" t="str">
        <f>IFERROR(VLOOKUP($C163, merchants!$A$2:$D$41, 4, FALSE), "Merchant not found")</f>
        <v>North</v>
      </c>
      <c r="F163" t="str">
        <f>IFERROR(VLOOKUP($C163, merchants!$A$2:$D$41, 3, FALSE), "Merchant not found")</f>
        <v>food_delivery</v>
      </c>
      <c r="G163" s="1">
        <v>46048.407638888886</v>
      </c>
      <c r="H163" s="4">
        <f t="shared" si="2"/>
        <v>46048</v>
      </c>
      <c r="I163">
        <v>299</v>
      </c>
      <c r="J163" s="2" t="s">
        <v>15</v>
      </c>
      <c r="K163" s="2" t="s">
        <v>10</v>
      </c>
      <c r="L163">
        <v>59</v>
      </c>
      <c r="M163">
        <f>IF(COUNTIFS($D$2:$D163, $D163, $H$2:$H163, $H163)=1, 1, 0)</f>
        <v>1</v>
      </c>
      <c r="N163">
        <f>_xlfn.IFNA(HLOOKUP($J163, fee_reference!$B$1:$E$2, 2, FALSE), 0)</f>
        <v>0.01</v>
      </c>
    </row>
    <row r="164" spans="1:14" x14ac:dyDescent="0.3">
      <c r="A164" s="2" t="s">
        <v>177</v>
      </c>
      <c r="B164">
        <v>116</v>
      </c>
      <c r="C164">
        <v>26</v>
      </c>
      <c r="D164" t="str">
        <f>IFERROR(VLOOKUP($C164,merchants!$A$2:$D$41,2,FALSE),"Merchant not found")</f>
        <v>Merchant_026</v>
      </c>
      <c r="E164" t="str">
        <f>IFERROR(VLOOKUP($C164, merchants!$A$2:$D$41, 4, FALSE), "Merchant not found")</f>
        <v>East</v>
      </c>
      <c r="F164" t="str">
        <f>IFERROR(VLOOKUP($C164, merchants!$A$2:$D$41, 3, FALSE), "Merchant not found")</f>
        <v>food_delivery</v>
      </c>
      <c r="G164" s="1">
        <v>46025.2</v>
      </c>
      <c r="H164" s="4">
        <f t="shared" si="2"/>
        <v>46025</v>
      </c>
      <c r="I164">
        <v>99</v>
      </c>
      <c r="J164" s="2" t="s">
        <v>15</v>
      </c>
      <c r="K164" s="2" t="s">
        <v>10</v>
      </c>
      <c r="L164">
        <v>71</v>
      </c>
      <c r="M164">
        <f>IF(COUNTIFS($D$2:$D164, $D164, $H$2:$H164, $H164)=1, 1, 0)</f>
        <v>1</v>
      </c>
      <c r="N164">
        <f>_xlfn.IFNA(HLOOKUP($J164, fee_reference!$B$1:$E$2, 2, FALSE), 0)</f>
        <v>0.01</v>
      </c>
    </row>
    <row r="165" spans="1:14" x14ac:dyDescent="0.3">
      <c r="A165" s="2" t="s">
        <v>178</v>
      </c>
      <c r="B165">
        <v>203</v>
      </c>
      <c r="C165">
        <v>1</v>
      </c>
      <c r="D165" t="str">
        <f>IFERROR(VLOOKUP($C165,merchants!$A$2:$D$41,2,FALSE),"Merchant not found")</f>
        <v>Merchant_001</v>
      </c>
      <c r="E165" t="str">
        <f>IFERROR(VLOOKUP($C165, merchants!$A$2:$D$41, 4, FALSE), "Merchant not found")</f>
        <v>South</v>
      </c>
      <c r="F165" t="str">
        <f>IFERROR(VLOOKUP($C165, merchants!$A$2:$D$41, 3, FALSE), "Merchant not found")</f>
        <v>ecommerce</v>
      </c>
      <c r="G165" s="1">
        <v>46034.118055555555</v>
      </c>
      <c r="H165" s="4">
        <f t="shared" si="2"/>
        <v>46034</v>
      </c>
      <c r="I165">
        <v>149</v>
      </c>
      <c r="J165" s="2" t="s">
        <v>9</v>
      </c>
      <c r="K165" s="2" t="s">
        <v>10</v>
      </c>
      <c r="L165">
        <v>33</v>
      </c>
      <c r="M165">
        <f>IF(COUNTIFS($D$2:$D165, $D165, $H$2:$H165, $H165)=1, 1, 0)</f>
        <v>1</v>
      </c>
      <c r="N165">
        <f>_xlfn.IFNA(HLOOKUP($J165, fee_reference!$B$1:$E$2, 2, FALSE), 0)</f>
        <v>1.4999999999999999E-2</v>
      </c>
    </row>
    <row r="166" spans="1:14" x14ac:dyDescent="0.3">
      <c r="A166" s="2" t="s">
        <v>179</v>
      </c>
      <c r="B166">
        <v>189</v>
      </c>
      <c r="C166">
        <v>17</v>
      </c>
      <c r="D166" t="str">
        <f>IFERROR(VLOOKUP($C166,merchants!$A$2:$D$41,2,FALSE),"Merchant not found")</f>
        <v>Merchant_017</v>
      </c>
      <c r="E166" t="str">
        <f>IFERROR(VLOOKUP($C166, merchants!$A$2:$D$41, 4, FALSE), "Merchant not found")</f>
        <v>North</v>
      </c>
      <c r="F166" t="str">
        <f>IFERROR(VLOOKUP($C166, merchants!$A$2:$D$41, 3, FALSE), "Merchant not found")</f>
        <v>grocery</v>
      </c>
      <c r="G166" s="1">
        <v>46040.145138888889</v>
      </c>
      <c r="H166" s="4">
        <f t="shared" si="2"/>
        <v>46040</v>
      </c>
      <c r="I166">
        <v>99</v>
      </c>
      <c r="J166" s="2" t="s">
        <v>12</v>
      </c>
      <c r="K166" s="2" t="s">
        <v>10</v>
      </c>
      <c r="L166">
        <v>74</v>
      </c>
      <c r="M166">
        <f>IF(COUNTIFS($D$2:$D166, $D166, $H$2:$H166, $H166)=1, 1, 0)</f>
        <v>1</v>
      </c>
      <c r="N166">
        <f>_xlfn.IFNA(HLOOKUP($J166, fee_reference!$B$1:$E$2, 2, FALSE), 0)</f>
        <v>0</v>
      </c>
    </row>
    <row r="167" spans="1:14" x14ac:dyDescent="0.3">
      <c r="A167" s="2" t="s">
        <v>180</v>
      </c>
      <c r="B167">
        <v>56</v>
      </c>
      <c r="C167">
        <v>15</v>
      </c>
      <c r="D167" t="str">
        <f>IFERROR(VLOOKUP($C167,merchants!$A$2:$D$41,2,FALSE),"Merchant not found")</f>
        <v>Merchant_015</v>
      </c>
      <c r="E167" t="str">
        <f>IFERROR(VLOOKUP($C167, merchants!$A$2:$D$41, 4, FALSE), "Merchant not found")</f>
        <v>North</v>
      </c>
      <c r="F167" t="str">
        <f>IFERROR(VLOOKUP($C167, merchants!$A$2:$D$41, 3, FALSE), "Merchant not found")</f>
        <v>travel</v>
      </c>
      <c r="G167" s="1">
        <v>46035.849305555559</v>
      </c>
      <c r="H167" s="4">
        <f t="shared" si="2"/>
        <v>46035</v>
      </c>
      <c r="I167">
        <v>299</v>
      </c>
      <c r="J167" s="2" t="s">
        <v>12</v>
      </c>
      <c r="K167" s="2" t="s">
        <v>10</v>
      </c>
      <c r="L167">
        <v>60</v>
      </c>
      <c r="M167">
        <f>IF(COUNTIFS($D$2:$D167, $D167, $H$2:$H167, $H167)=1, 1, 0)</f>
        <v>1</v>
      </c>
      <c r="N167">
        <f>_xlfn.IFNA(HLOOKUP($J167, fee_reference!$B$1:$E$2, 2, FALSE), 0)</f>
        <v>0</v>
      </c>
    </row>
    <row r="168" spans="1:14" x14ac:dyDescent="0.3">
      <c r="A168" s="2" t="s">
        <v>181</v>
      </c>
      <c r="B168">
        <v>288</v>
      </c>
      <c r="C168">
        <v>21</v>
      </c>
      <c r="D168" t="str">
        <f>IFERROR(VLOOKUP($C168,merchants!$A$2:$D$41,2,FALSE),"Merchant not found")</f>
        <v>Merchant_021</v>
      </c>
      <c r="E168" t="str">
        <f>IFERROR(VLOOKUP($C168, merchants!$A$2:$D$41, 4, FALSE), "Merchant not found")</f>
        <v>East</v>
      </c>
      <c r="F168" t="str">
        <f>IFERROR(VLOOKUP($C168, merchants!$A$2:$D$41, 3, FALSE), "Merchant not found")</f>
        <v>food_delivery</v>
      </c>
      <c r="G168" s="1">
        <v>46023.830555555556</v>
      </c>
      <c r="H168" s="4">
        <f t="shared" si="2"/>
        <v>46023</v>
      </c>
      <c r="I168">
        <v>4999</v>
      </c>
      <c r="J168" s="2" t="s">
        <v>9</v>
      </c>
      <c r="K168" s="2" t="s">
        <v>25</v>
      </c>
      <c r="L168">
        <v>78</v>
      </c>
      <c r="M168">
        <f>IF(COUNTIFS($D$2:$D168, $D168, $H$2:$H168, $H168)=1, 1, 0)</f>
        <v>1</v>
      </c>
      <c r="N168">
        <f>_xlfn.IFNA(HLOOKUP($J168, fee_reference!$B$1:$E$2, 2, FALSE), 0)</f>
        <v>1.4999999999999999E-2</v>
      </c>
    </row>
    <row r="169" spans="1:14" x14ac:dyDescent="0.3">
      <c r="A169" s="2" t="s">
        <v>182</v>
      </c>
      <c r="B169">
        <v>326</v>
      </c>
      <c r="C169">
        <v>30</v>
      </c>
      <c r="D169" t="str">
        <f>IFERROR(VLOOKUP($C169,merchants!$A$2:$D$41,2,FALSE),"Merchant not found")</f>
        <v>Merchant_030</v>
      </c>
      <c r="E169" t="str">
        <f>IFERROR(VLOOKUP($C169, merchants!$A$2:$D$41, 4, FALSE), "Merchant not found")</f>
        <v>West</v>
      </c>
      <c r="F169" t="str">
        <f>IFERROR(VLOOKUP($C169, merchants!$A$2:$D$41, 3, FALSE), "Merchant not found")</f>
        <v>travel</v>
      </c>
      <c r="G169" s="1">
        <v>46030.836111111108</v>
      </c>
      <c r="H169" s="4">
        <f t="shared" si="2"/>
        <v>46030</v>
      </c>
      <c r="I169">
        <v>99</v>
      </c>
      <c r="J169" s="2" t="s">
        <v>24</v>
      </c>
      <c r="K169" s="2" t="s">
        <v>10</v>
      </c>
      <c r="L169">
        <v>89</v>
      </c>
      <c r="M169">
        <f>IF(COUNTIFS($D$2:$D169, $D169, $H$2:$H169, $H169)=1, 1, 0)</f>
        <v>0</v>
      </c>
      <c r="N169">
        <f>_xlfn.IFNA(HLOOKUP($J169, fee_reference!$B$1:$E$2, 2, FALSE), 0)</f>
        <v>2.5000000000000001E-2</v>
      </c>
    </row>
    <row r="170" spans="1:14" x14ac:dyDescent="0.3">
      <c r="A170" s="2" t="s">
        <v>183</v>
      </c>
      <c r="B170">
        <v>60</v>
      </c>
      <c r="C170">
        <v>9</v>
      </c>
      <c r="D170" t="str">
        <f>IFERROR(VLOOKUP($C170,merchants!$A$2:$D$41,2,FALSE),"Merchant not found")</f>
        <v>Merchant_009</v>
      </c>
      <c r="E170" t="str">
        <f>IFERROR(VLOOKUP($C170, merchants!$A$2:$D$41, 4, FALSE), "Merchant not found")</f>
        <v>North</v>
      </c>
      <c r="F170" t="str">
        <f>IFERROR(VLOOKUP($C170, merchants!$A$2:$D$41, 3, FALSE), "Merchant not found")</f>
        <v>ecommerce</v>
      </c>
      <c r="G170" s="1">
        <v>46032.851388888892</v>
      </c>
      <c r="H170" s="4">
        <f t="shared" si="2"/>
        <v>46032</v>
      </c>
      <c r="I170">
        <v>49</v>
      </c>
      <c r="J170" s="2" t="s">
        <v>15</v>
      </c>
      <c r="K170" s="2" t="s">
        <v>10</v>
      </c>
      <c r="L170">
        <v>5</v>
      </c>
      <c r="M170">
        <f>IF(COUNTIFS($D$2:$D170, $D170, $H$2:$H170, $H170)=1, 1, 0)</f>
        <v>1</v>
      </c>
      <c r="N170">
        <f>_xlfn.IFNA(HLOOKUP($J170, fee_reference!$B$1:$E$2, 2, FALSE), 0)</f>
        <v>0.01</v>
      </c>
    </row>
    <row r="171" spans="1:14" x14ac:dyDescent="0.3">
      <c r="A171" s="2" t="s">
        <v>184</v>
      </c>
      <c r="B171">
        <v>60</v>
      </c>
      <c r="C171">
        <v>7</v>
      </c>
      <c r="D171" t="str">
        <f>IFERROR(VLOOKUP($C171,merchants!$A$2:$D$41,2,FALSE),"Merchant not found")</f>
        <v>Merchant_007</v>
      </c>
      <c r="E171" t="str">
        <f>IFERROR(VLOOKUP($C171, merchants!$A$2:$D$41, 4, FALSE), "Merchant not found")</f>
        <v>East</v>
      </c>
      <c r="F171" t="str">
        <f>IFERROR(VLOOKUP($C171, merchants!$A$2:$D$41, 3, FALSE), "Merchant not found")</f>
        <v>food_delivery</v>
      </c>
      <c r="G171" s="1">
        <v>46024.396527777775</v>
      </c>
      <c r="H171" s="4">
        <f t="shared" si="2"/>
        <v>46024</v>
      </c>
      <c r="I171">
        <v>2999</v>
      </c>
      <c r="J171" s="2" t="s">
        <v>9</v>
      </c>
      <c r="K171" s="2" t="s">
        <v>10</v>
      </c>
      <c r="L171">
        <v>30</v>
      </c>
      <c r="M171">
        <f>IF(COUNTIFS($D$2:$D171, $D171, $H$2:$H171, $H171)=1, 1, 0)</f>
        <v>1</v>
      </c>
      <c r="N171">
        <f>_xlfn.IFNA(HLOOKUP($J171, fee_reference!$B$1:$E$2, 2, FALSE), 0)</f>
        <v>1.4999999999999999E-2</v>
      </c>
    </row>
    <row r="172" spans="1:14" x14ac:dyDescent="0.3">
      <c r="A172" s="2" t="s">
        <v>185</v>
      </c>
      <c r="B172">
        <v>199</v>
      </c>
      <c r="C172">
        <v>30</v>
      </c>
      <c r="D172" t="str">
        <f>IFERROR(VLOOKUP($C172,merchants!$A$2:$D$41,2,FALSE),"Merchant not found")</f>
        <v>Merchant_030</v>
      </c>
      <c r="E172" t="str">
        <f>IFERROR(VLOOKUP($C172, merchants!$A$2:$D$41, 4, FALSE), "Merchant not found")</f>
        <v>West</v>
      </c>
      <c r="F172" t="str">
        <f>IFERROR(VLOOKUP($C172, merchants!$A$2:$D$41, 3, FALSE), "Merchant not found")</f>
        <v>travel</v>
      </c>
      <c r="G172" s="1">
        <v>46051.713888888888</v>
      </c>
      <c r="H172" s="4">
        <f t="shared" si="2"/>
        <v>46051</v>
      </c>
      <c r="I172">
        <v>149</v>
      </c>
      <c r="J172" s="2" t="s">
        <v>15</v>
      </c>
      <c r="K172" s="2" t="s">
        <v>10</v>
      </c>
      <c r="L172">
        <v>47</v>
      </c>
      <c r="M172">
        <f>IF(COUNTIFS($D$2:$D172, $D172, $H$2:$H172, $H172)=1, 1, 0)</f>
        <v>1</v>
      </c>
      <c r="N172">
        <f>_xlfn.IFNA(HLOOKUP($J172, fee_reference!$B$1:$E$2, 2, FALSE), 0)</f>
        <v>0.01</v>
      </c>
    </row>
    <row r="173" spans="1:14" x14ac:dyDescent="0.3">
      <c r="A173" s="2" t="s">
        <v>186</v>
      </c>
      <c r="B173">
        <v>277</v>
      </c>
      <c r="C173">
        <v>27</v>
      </c>
      <c r="D173" t="str">
        <f>IFERROR(VLOOKUP($C173,merchants!$A$2:$D$41,2,FALSE),"Merchant not found")</f>
        <v>Merchant_027</v>
      </c>
      <c r="E173" t="str">
        <f>IFERROR(VLOOKUP($C173, merchants!$A$2:$D$41, 4, FALSE), "Merchant not found")</f>
        <v>North</v>
      </c>
      <c r="F173" t="str">
        <f>IFERROR(VLOOKUP($C173, merchants!$A$2:$D$41, 3, FALSE), "Merchant not found")</f>
        <v>ecommerce</v>
      </c>
      <c r="G173" s="1">
        <v>46044.988888888889</v>
      </c>
      <c r="H173" s="4">
        <f t="shared" si="2"/>
        <v>46044</v>
      </c>
      <c r="I173">
        <v>49</v>
      </c>
      <c r="J173" s="2" t="s">
        <v>12</v>
      </c>
      <c r="K173" s="2" t="s">
        <v>10</v>
      </c>
      <c r="L173">
        <v>75</v>
      </c>
      <c r="M173">
        <f>IF(COUNTIFS($D$2:$D173, $D173, $H$2:$H173, $H173)=1, 1, 0)</f>
        <v>1</v>
      </c>
      <c r="N173">
        <f>_xlfn.IFNA(HLOOKUP($J173, fee_reference!$B$1:$E$2, 2, FALSE), 0)</f>
        <v>0</v>
      </c>
    </row>
    <row r="174" spans="1:14" x14ac:dyDescent="0.3">
      <c r="A174" s="2" t="s">
        <v>187</v>
      </c>
      <c r="B174">
        <v>213</v>
      </c>
      <c r="C174">
        <v>7</v>
      </c>
      <c r="D174" t="str">
        <f>IFERROR(VLOOKUP($C174,merchants!$A$2:$D$41,2,FALSE),"Merchant not found")</f>
        <v>Merchant_007</v>
      </c>
      <c r="E174" t="str">
        <f>IFERROR(VLOOKUP($C174, merchants!$A$2:$D$41, 4, FALSE), "Merchant not found")</f>
        <v>East</v>
      </c>
      <c r="F174" t="str">
        <f>IFERROR(VLOOKUP($C174, merchants!$A$2:$D$41, 3, FALSE), "Merchant not found")</f>
        <v>food_delivery</v>
      </c>
      <c r="G174" s="1">
        <v>46046.964583333334</v>
      </c>
      <c r="H174" s="4">
        <f t="shared" si="2"/>
        <v>46046</v>
      </c>
      <c r="I174">
        <v>799</v>
      </c>
      <c r="J174" s="2" t="s">
        <v>15</v>
      </c>
      <c r="K174" s="2" t="s">
        <v>10</v>
      </c>
      <c r="L174">
        <v>62</v>
      </c>
      <c r="M174">
        <f>IF(COUNTIFS($D$2:$D174, $D174, $H$2:$H174, $H174)=1, 1, 0)</f>
        <v>0</v>
      </c>
      <c r="N174">
        <f>_xlfn.IFNA(HLOOKUP($J174, fee_reference!$B$1:$E$2, 2, FALSE), 0)</f>
        <v>0.01</v>
      </c>
    </row>
    <row r="175" spans="1:14" x14ac:dyDescent="0.3">
      <c r="A175" s="2" t="s">
        <v>188</v>
      </c>
      <c r="B175">
        <v>17</v>
      </c>
      <c r="C175">
        <v>24</v>
      </c>
      <c r="D175" t="str">
        <f>IFERROR(VLOOKUP($C175,merchants!$A$2:$D$41,2,FALSE),"Merchant not found")</f>
        <v>Merchant_024</v>
      </c>
      <c r="E175" t="str">
        <f>IFERROR(VLOOKUP($C175, merchants!$A$2:$D$41, 4, FALSE), "Merchant not found")</f>
        <v>North</v>
      </c>
      <c r="F175" t="str">
        <f>IFERROR(VLOOKUP($C175, merchants!$A$2:$D$41, 3, FALSE), "Merchant not found")</f>
        <v>grocery</v>
      </c>
      <c r="G175" s="1">
        <v>46042.553472222222</v>
      </c>
      <c r="H175" s="4">
        <f t="shared" si="2"/>
        <v>46042</v>
      </c>
      <c r="I175">
        <v>299</v>
      </c>
      <c r="J175" s="2" t="s">
        <v>12</v>
      </c>
      <c r="K175" s="2" t="s">
        <v>10</v>
      </c>
      <c r="L175">
        <v>27</v>
      </c>
      <c r="M175">
        <f>IF(COUNTIFS($D$2:$D175, $D175, $H$2:$H175, $H175)=1, 1, 0)</f>
        <v>1</v>
      </c>
      <c r="N175">
        <f>_xlfn.IFNA(HLOOKUP($J175, fee_reference!$B$1:$E$2, 2, FALSE), 0)</f>
        <v>0</v>
      </c>
    </row>
    <row r="176" spans="1:14" x14ac:dyDescent="0.3">
      <c r="A176" s="2" t="s">
        <v>189</v>
      </c>
      <c r="B176">
        <v>186</v>
      </c>
      <c r="C176">
        <v>7</v>
      </c>
      <c r="D176" t="str">
        <f>IFERROR(VLOOKUP($C176,merchants!$A$2:$D$41,2,FALSE),"Merchant not found")</f>
        <v>Merchant_007</v>
      </c>
      <c r="E176" t="str">
        <f>IFERROR(VLOOKUP($C176, merchants!$A$2:$D$41, 4, FALSE), "Merchant not found")</f>
        <v>East</v>
      </c>
      <c r="F176" t="str">
        <f>IFERROR(VLOOKUP($C176, merchants!$A$2:$D$41, 3, FALSE), "Merchant not found")</f>
        <v>food_delivery</v>
      </c>
      <c r="G176" s="1">
        <v>46037.59375</v>
      </c>
      <c r="H176" s="4">
        <f t="shared" si="2"/>
        <v>46037</v>
      </c>
      <c r="I176">
        <v>1499</v>
      </c>
      <c r="J176" s="2" t="s">
        <v>24</v>
      </c>
      <c r="K176" s="2" t="s">
        <v>25</v>
      </c>
      <c r="L176">
        <v>87</v>
      </c>
      <c r="M176">
        <f>IF(COUNTIFS($D$2:$D176, $D176, $H$2:$H176, $H176)=1, 1, 0)</f>
        <v>1</v>
      </c>
      <c r="N176">
        <f>_xlfn.IFNA(HLOOKUP($J176, fee_reference!$B$1:$E$2, 2, FALSE), 0)</f>
        <v>2.5000000000000001E-2</v>
      </c>
    </row>
    <row r="177" spans="1:14" x14ac:dyDescent="0.3">
      <c r="A177" s="2" t="s">
        <v>190</v>
      </c>
      <c r="B177">
        <v>331</v>
      </c>
      <c r="C177">
        <v>23</v>
      </c>
      <c r="D177" t="str">
        <f>IFERROR(VLOOKUP($C177,merchants!$A$2:$D$41,2,FALSE),"Merchant not found")</f>
        <v>Merchant_023</v>
      </c>
      <c r="E177" t="str">
        <f>IFERROR(VLOOKUP($C177, merchants!$A$2:$D$41, 4, FALSE), "Merchant not found")</f>
        <v>North</v>
      </c>
      <c r="F177" t="str">
        <f>IFERROR(VLOOKUP($C177, merchants!$A$2:$D$41, 3, FALSE), "Merchant not found")</f>
        <v>travel</v>
      </c>
      <c r="G177" s="1">
        <v>46034.747916666667</v>
      </c>
      <c r="H177" s="4">
        <f t="shared" si="2"/>
        <v>46034</v>
      </c>
      <c r="I177">
        <v>149</v>
      </c>
      <c r="J177" s="2" t="s">
        <v>12</v>
      </c>
      <c r="K177" s="2" t="s">
        <v>10</v>
      </c>
      <c r="L177">
        <v>7</v>
      </c>
      <c r="M177">
        <f>IF(COUNTIFS($D$2:$D177, $D177, $H$2:$H177, $H177)=1, 1, 0)</f>
        <v>1</v>
      </c>
      <c r="N177">
        <f>_xlfn.IFNA(HLOOKUP($J177, fee_reference!$B$1:$E$2, 2, FALSE), 0)</f>
        <v>0</v>
      </c>
    </row>
    <row r="178" spans="1:14" x14ac:dyDescent="0.3">
      <c r="A178" s="2" t="s">
        <v>191</v>
      </c>
      <c r="B178">
        <v>63</v>
      </c>
      <c r="C178">
        <v>30</v>
      </c>
      <c r="D178" t="str">
        <f>IFERROR(VLOOKUP($C178,merchants!$A$2:$D$41,2,FALSE),"Merchant not found")</f>
        <v>Merchant_030</v>
      </c>
      <c r="E178" t="str">
        <f>IFERROR(VLOOKUP($C178, merchants!$A$2:$D$41, 4, FALSE), "Merchant not found")</f>
        <v>West</v>
      </c>
      <c r="F178" t="str">
        <f>IFERROR(VLOOKUP($C178, merchants!$A$2:$D$41, 3, FALSE), "Merchant not found")</f>
        <v>travel</v>
      </c>
      <c r="G178" s="1">
        <v>46035.341666666667</v>
      </c>
      <c r="H178" s="4">
        <f t="shared" si="2"/>
        <v>46035</v>
      </c>
      <c r="I178">
        <v>1499</v>
      </c>
      <c r="J178" s="2" t="s">
        <v>24</v>
      </c>
      <c r="K178" s="2" t="s">
        <v>10</v>
      </c>
      <c r="L178">
        <v>11</v>
      </c>
      <c r="M178">
        <f>IF(COUNTIFS($D$2:$D178, $D178, $H$2:$H178, $H178)=1, 1, 0)</f>
        <v>1</v>
      </c>
      <c r="N178">
        <f>_xlfn.IFNA(HLOOKUP($J178, fee_reference!$B$1:$E$2, 2, FALSE), 0)</f>
        <v>2.5000000000000001E-2</v>
      </c>
    </row>
    <row r="179" spans="1:14" x14ac:dyDescent="0.3">
      <c r="A179" s="2" t="s">
        <v>192</v>
      </c>
      <c r="B179">
        <v>328</v>
      </c>
      <c r="C179">
        <v>39</v>
      </c>
      <c r="D179" t="str">
        <f>IFERROR(VLOOKUP($C179,merchants!$A$2:$D$41,2,FALSE),"Merchant not found")</f>
        <v>Merchant_039</v>
      </c>
      <c r="E179" t="str">
        <f>IFERROR(VLOOKUP($C179, merchants!$A$2:$D$41, 4, FALSE), "Merchant not found")</f>
        <v>North</v>
      </c>
      <c r="F179" t="str">
        <f>IFERROR(VLOOKUP($C179, merchants!$A$2:$D$41, 3, FALSE), "Merchant not found")</f>
        <v>entertainment</v>
      </c>
      <c r="G179" s="1">
        <v>46044.27847222222</v>
      </c>
      <c r="H179" s="4">
        <f t="shared" si="2"/>
        <v>46044</v>
      </c>
      <c r="I179">
        <v>4999</v>
      </c>
      <c r="J179" s="2" t="s">
        <v>9</v>
      </c>
      <c r="K179" s="2" t="s">
        <v>38</v>
      </c>
      <c r="L179">
        <v>2</v>
      </c>
      <c r="M179">
        <f>IF(COUNTIFS($D$2:$D179, $D179, $H$2:$H179, $H179)=1, 1, 0)</f>
        <v>1</v>
      </c>
      <c r="N179">
        <f>_xlfn.IFNA(HLOOKUP($J179, fee_reference!$B$1:$E$2, 2, FALSE), 0)</f>
        <v>1.4999999999999999E-2</v>
      </c>
    </row>
    <row r="180" spans="1:14" x14ac:dyDescent="0.3">
      <c r="A180" s="2" t="s">
        <v>193</v>
      </c>
      <c r="B180">
        <v>65</v>
      </c>
      <c r="C180">
        <v>37</v>
      </c>
      <c r="D180" t="str">
        <f>IFERROR(VLOOKUP($C180,merchants!$A$2:$D$41,2,FALSE),"Merchant not found")</f>
        <v>Merchant_037</v>
      </c>
      <c r="E180" t="str">
        <f>IFERROR(VLOOKUP($C180, merchants!$A$2:$D$41, 4, FALSE), "Merchant not found")</f>
        <v>South</v>
      </c>
      <c r="F180" t="str">
        <f>IFERROR(VLOOKUP($C180, merchants!$A$2:$D$41, 3, FALSE), "Merchant not found")</f>
        <v>entertainment</v>
      </c>
      <c r="G180" s="1">
        <v>46024.427083333336</v>
      </c>
      <c r="H180" s="4">
        <f t="shared" si="2"/>
        <v>46024</v>
      </c>
      <c r="I180">
        <v>2999</v>
      </c>
      <c r="J180" s="2" t="s">
        <v>24</v>
      </c>
      <c r="K180" s="2" t="s">
        <v>10</v>
      </c>
      <c r="L180">
        <v>26</v>
      </c>
      <c r="M180">
        <f>IF(COUNTIFS($D$2:$D180, $D180, $H$2:$H180, $H180)=1, 1, 0)</f>
        <v>1</v>
      </c>
      <c r="N180">
        <f>_xlfn.IFNA(HLOOKUP($J180, fee_reference!$B$1:$E$2, 2, FALSE), 0)</f>
        <v>2.5000000000000001E-2</v>
      </c>
    </row>
    <row r="181" spans="1:14" x14ac:dyDescent="0.3">
      <c r="A181" s="2" t="s">
        <v>194</v>
      </c>
      <c r="B181">
        <v>301</v>
      </c>
      <c r="C181">
        <v>14</v>
      </c>
      <c r="D181" t="str">
        <f>IFERROR(VLOOKUP($C181,merchants!$A$2:$D$41,2,FALSE),"Merchant not found")</f>
        <v>Merchant_014</v>
      </c>
      <c r="E181" t="str">
        <f>IFERROR(VLOOKUP($C181, merchants!$A$2:$D$41, 4, FALSE), "Merchant not found")</f>
        <v>East</v>
      </c>
      <c r="F181" t="str">
        <f>IFERROR(VLOOKUP($C181, merchants!$A$2:$D$41, 3, FALSE), "Merchant not found")</f>
        <v>grocery</v>
      </c>
      <c r="G181" s="1">
        <v>46025.717361111114</v>
      </c>
      <c r="H181" s="4">
        <f t="shared" si="2"/>
        <v>46025</v>
      </c>
      <c r="I181">
        <v>149</v>
      </c>
      <c r="J181" s="2" t="s">
        <v>12</v>
      </c>
      <c r="K181" s="2" t="s">
        <v>10</v>
      </c>
      <c r="L181">
        <v>29</v>
      </c>
      <c r="M181">
        <f>IF(COUNTIFS($D$2:$D181, $D181, $H$2:$H181, $H181)=1, 1, 0)</f>
        <v>1</v>
      </c>
      <c r="N181">
        <f>_xlfn.IFNA(HLOOKUP($J181, fee_reference!$B$1:$E$2, 2, FALSE), 0)</f>
        <v>0</v>
      </c>
    </row>
    <row r="182" spans="1:14" x14ac:dyDescent="0.3">
      <c r="A182" s="2" t="s">
        <v>195</v>
      </c>
      <c r="B182">
        <v>306</v>
      </c>
      <c r="C182">
        <v>1</v>
      </c>
      <c r="D182" t="str">
        <f>IFERROR(VLOOKUP($C182,merchants!$A$2:$D$41,2,FALSE),"Merchant not found")</f>
        <v>Merchant_001</v>
      </c>
      <c r="E182" t="str">
        <f>IFERROR(VLOOKUP($C182, merchants!$A$2:$D$41, 4, FALSE), "Merchant not found")</f>
        <v>South</v>
      </c>
      <c r="F182" t="str">
        <f>IFERROR(VLOOKUP($C182, merchants!$A$2:$D$41, 3, FALSE), "Merchant not found")</f>
        <v>ecommerce</v>
      </c>
      <c r="G182" s="1">
        <v>46033.201388888891</v>
      </c>
      <c r="H182" s="4">
        <f t="shared" si="2"/>
        <v>46033</v>
      </c>
      <c r="I182">
        <v>299</v>
      </c>
      <c r="J182" s="2" t="s">
        <v>12</v>
      </c>
      <c r="K182" s="2" t="s">
        <v>25</v>
      </c>
      <c r="L182">
        <v>35</v>
      </c>
      <c r="M182">
        <f>IF(COUNTIFS($D$2:$D182, $D182, $H$2:$H182, $H182)=1, 1, 0)</f>
        <v>1</v>
      </c>
      <c r="N182">
        <f>_xlfn.IFNA(HLOOKUP($J182, fee_reference!$B$1:$E$2, 2, FALSE), 0)</f>
        <v>0</v>
      </c>
    </row>
    <row r="183" spans="1:14" x14ac:dyDescent="0.3">
      <c r="A183" s="2" t="s">
        <v>196</v>
      </c>
      <c r="B183">
        <v>277</v>
      </c>
      <c r="C183">
        <v>17</v>
      </c>
      <c r="D183" t="str">
        <f>IFERROR(VLOOKUP($C183,merchants!$A$2:$D$41,2,FALSE),"Merchant not found")</f>
        <v>Merchant_017</v>
      </c>
      <c r="E183" t="str">
        <f>IFERROR(VLOOKUP($C183, merchants!$A$2:$D$41, 4, FALSE), "Merchant not found")</f>
        <v>North</v>
      </c>
      <c r="F183" t="str">
        <f>IFERROR(VLOOKUP($C183, merchants!$A$2:$D$41, 3, FALSE), "Merchant not found")</f>
        <v>grocery</v>
      </c>
      <c r="G183" s="1">
        <v>46050.172222222223</v>
      </c>
      <c r="H183" s="4">
        <f t="shared" si="2"/>
        <v>46050</v>
      </c>
      <c r="I183">
        <v>299</v>
      </c>
      <c r="J183" s="2" t="s">
        <v>12</v>
      </c>
      <c r="K183" s="2" t="s">
        <v>10</v>
      </c>
      <c r="L183">
        <v>22</v>
      </c>
      <c r="M183">
        <f>IF(COUNTIFS($D$2:$D183, $D183, $H$2:$H183, $H183)=1, 1, 0)</f>
        <v>1</v>
      </c>
      <c r="N183">
        <f>_xlfn.IFNA(HLOOKUP($J183, fee_reference!$B$1:$E$2, 2, FALSE), 0)</f>
        <v>0</v>
      </c>
    </row>
    <row r="184" spans="1:14" x14ac:dyDescent="0.3">
      <c r="A184" s="2" t="s">
        <v>197</v>
      </c>
      <c r="B184">
        <v>14</v>
      </c>
      <c r="C184">
        <v>9</v>
      </c>
      <c r="D184" t="str">
        <f>IFERROR(VLOOKUP($C184,merchants!$A$2:$D$41,2,FALSE),"Merchant not found")</f>
        <v>Merchant_009</v>
      </c>
      <c r="E184" t="str">
        <f>IFERROR(VLOOKUP($C184, merchants!$A$2:$D$41, 4, FALSE), "Merchant not found")</f>
        <v>North</v>
      </c>
      <c r="F184" t="str">
        <f>IFERROR(VLOOKUP($C184, merchants!$A$2:$D$41, 3, FALSE), "Merchant not found")</f>
        <v>ecommerce</v>
      </c>
      <c r="G184" s="1">
        <v>46026.913194444445</v>
      </c>
      <c r="H184" s="4">
        <f t="shared" si="2"/>
        <v>46026</v>
      </c>
      <c r="I184">
        <v>499</v>
      </c>
      <c r="J184" s="2" t="s">
        <v>12</v>
      </c>
      <c r="K184" s="2" t="s">
        <v>10</v>
      </c>
      <c r="L184">
        <v>1</v>
      </c>
      <c r="M184">
        <f>IF(COUNTIFS($D$2:$D184, $D184, $H$2:$H184, $H184)=1, 1, 0)</f>
        <v>1</v>
      </c>
      <c r="N184">
        <f>_xlfn.IFNA(HLOOKUP($J184, fee_reference!$B$1:$E$2, 2, FALSE), 0)</f>
        <v>0</v>
      </c>
    </row>
    <row r="185" spans="1:14" x14ac:dyDescent="0.3">
      <c r="A185" s="2" t="s">
        <v>198</v>
      </c>
      <c r="B185">
        <v>166</v>
      </c>
      <c r="C185">
        <v>2</v>
      </c>
      <c r="D185" t="str">
        <f>IFERROR(VLOOKUP($C185,merchants!$A$2:$D$41,2,FALSE),"Merchant not found")</f>
        <v>Merchant_002</v>
      </c>
      <c r="E185" t="str">
        <f>IFERROR(VLOOKUP($C185, merchants!$A$2:$D$41, 4, FALSE), "Merchant not found")</f>
        <v>West</v>
      </c>
      <c r="F185" t="str">
        <f>IFERROR(VLOOKUP($C185, merchants!$A$2:$D$41, 3, FALSE), "Merchant not found")</f>
        <v>grocery</v>
      </c>
      <c r="G185" s="1">
        <v>46034.317361111112</v>
      </c>
      <c r="H185" s="4">
        <f t="shared" si="2"/>
        <v>46034</v>
      </c>
      <c r="I185">
        <v>299</v>
      </c>
      <c r="J185" s="2" t="s">
        <v>24</v>
      </c>
      <c r="K185" s="2" t="s">
        <v>10</v>
      </c>
      <c r="L185">
        <v>22</v>
      </c>
      <c r="M185">
        <f>IF(COUNTIFS($D$2:$D185, $D185, $H$2:$H185, $H185)=1, 1, 0)</f>
        <v>0</v>
      </c>
      <c r="N185">
        <f>_xlfn.IFNA(HLOOKUP($J185, fee_reference!$B$1:$E$2, 2, FALSE), 0)</f>
        <v>2.5000000000000001E-2</v>
      </c>
    </row>
    <row r="186" spans="1:14" x14ac:dyDescent="0.3">
      <c r="A186" s="2" t="s">
        <v>199</v>
      </c>
      <c r="B186">
        <v>216</v>
      </c>
      <c r="C186">
        <v>34</v>
      </c>
      <c r="D186" t="str">
        <f>IFERROR(VLOOKUP($C186,merchants!$A$2:$D$41,2,FALSE),"Merchant not found")</f>
        <v>Merchant_034</v>
      </c>
      <c r="E186" t="str">
        <f>IFERROR(VLOOKUP($C186, merchants!$A$2:$D$41, 4, FALSE), "Merchant not found")</f>
        <v>South</v>
      </c>
      <c r="F186" t="str">
        <f>IFERROR(VLOOKUP($C186, merchants!$A$2:$D$41, 3, FALSE), "Merchant not found")</f>
        <v>travel</v>
      </c>
      <c r="G186" s="1">
        <v>46031.047222222223</v>
      </c>
      <c r="H186" s="4">
        <f t="shared" si="2"/>
        <v>46031</v>
      </c>
      <c r="I186">
        <v>299</v>
      </c>
      <c r="J186" s="2" t="s">
        <v>24</v>
      </c>
      <c r="K186" s="2" t="s">
        <v>10</v>
      </c>
      <c r="L186">
        <v>14</v>
      </c>
      <c r="M186">
        <f>IF(COUNTIFS($D$2:$D186, $D186, $H$2:$H186, $H186)=1, 1, 0)</f>
        <v>1</v>
      </c>
      <c r="N186">
        <f>_xlfn.IFNA(HLOOKUP($J186, fee_reference!$B$1:$E$2, 2, FALSE), 0)</f>
        <v>2.5000000000000001E-2</v>
      </c>
    </row>
    <row r="187" spans="1:14" x14ac:dyDescent="0.3">
      <c r="A187" s="2" t="s">
        <v>200</v>
      </c>
      <c r="B187">
        <v>230</v>
      </c>
      <c r="C187">
        <v>24</v>
      </c>
      <c r="D187" t="str">
        <f>IFERROR(VLOOKUP($C187,merchants!$A$2:$D$41,2,FALSE),"Merchant not found")</f>
        <v>Merchant_024</v>
      </c>
      <c r="E187" t="str">
        <f>IFERROR(VLOOKUP($C187, merchants!$A$2:$D$41, 4, FALSE), "Merchant not found")</f>
        <v>North</v>
      </c>
      <c r="F187" t="str">
        <f>IFERROR(VLOOKUP($C187, merchants!$A$2:$D$41, 3, FALSE), "Merchant not found")</f>
        <v>grocery</v>
      </c>
      <c r="G187" s="1">
        <v>46046.104166666664</v>
      </c>
      <c r="H187" s="4">
        <f t="shared" si="2"/>
        <v>46046</v>
      </c>
      <c r="I187">
        <v>49</v>
      </c>
      <c r="J187" s="2" t="s">
        <v>12</v>
      </c>
      <c r="K187" s="2" t="s">
        <v>10</v>
      </c>
      <c r="L187">
        <v>65</v>
      </c>
      <c r="M187">
        <f>IF(COUNTIFS($D$2:$D187, $D187, $H$2:$H187, $H187)=1, 1, 0)</f>
        <v>1</v>
      </c>
      <c r="N187">
        <f>_xlfn.IFNA(HLOOKUP($J187, fee_reference!$B$1:$E$2, 2, FALSE), 0)</f>
        <v>0</v>
      </c>
    </row>
    <row r="188" spans="1:14" x14ac:dyDescent="0.3">
      <c r="A188" s="2" t="s">
        <v>201</v>
      </c>
      <c r="B188">
        <v>258</v>
      </c>
      <c r="C188">
        <v>15</v>
      </c>
      <c r="D188" t="str">
        <f>IFERROR(VLOOKUP($C188,merchants!$A$2:$D$41,2,FALSE),"Merchant not found")</f>
        <v>Merchant_015</v>
      </c>
      <c r="E188" t="str">
        <f>IFERROR(VLOOKUP($C188, merchants!$A$2:$D$41, 4, FALSE), "Merchant not found")</f>
        <v>North</v>
      </c>
      <c r="F188" t="str">
        <f>IFERROR(VLOOKUP($C188, merchants!$A$2:$D$41, 3, FALSE), "Merchant not found")</f>
        <v>travel</v>
      </c>
      <c r="G188" s="1">
        <v>46041.144444444442</v>
      </c>
      <c r="H188" s="4">
        <f t="shared" si="2"/>
        <v>46041</v>
      </c>
      <c r="I188">
        <v>499</v>
      </c>
      <c r="J188" s="2" t="s">
        <v>9</v>
      </c>
      <c r="K188" s="2" t="s">
        <v>10</v>
      </c>
      <c r="L188">
        <v>78</v>
      </c>
      <c r="M188">
        <f>IF(COUNTIFS($D$2:$D188, $D188, $H$2:$H188, $H188)=1, 1, 0)</f>
        <v>1</v>
      </c>
      <c r="N188">
        <f>_xlfn.IFNA(HLOOKUP($J188, fee_reference!$B$1:$E$2, 2, FALSE), 0)</f>
        <v>1.4999999999999999E-2</v>
      </c>
    </row>
    <row r="189" spans="1:14" x14ac:dyDescent="0.3">
      <c r="A189" s="2" t="s">
        <v>202</v>
      </c>
      <c r="B189">
        <v>338</v>
      </c>
      <c r="C189">
        <v>34</v>
      </c>
      <c r="D189" t="str">
        <f>IFERROR(VLOOKUP($C189,merchants!$A$2:$D$41,2,FALSE),"Merchant not found")</f>
        <v>Merchant_034</v>
      </c>
      <c r="E189" t="str">
        <f>IFERROR(VLOOKUP($C189, merchants!$A$2:$D$41, 4, FALSE), "Merchant not found")</f>
        <v>South</v>
      </c>
      <c r="F189" t="str">
        <f>IFERROR(VLOOKUP($C189, merchants!$A$2:$D$41, 3, FALSE), "Merchant not found")</f>
        <v>travel</v>
      </c>
      <c r="G189" s="1">
        <v>46024.993055555555</v>
      </c>
      <c r="H189" s="4">
        <f t="shared" si="2"/>
        <v>46024</v>
      </c>
      <c r="I189">
        <v>49</v>
      </c>
      <c r="J189" s="2" t="s">
        <v>12</v>
      </c>
      <c r="K189" s="2" t="s">
        <v>10</v>
      </c>
      <c r="L189">
        <v>38</v>
      </c>
      <c r="M189">
        <f>IF(COUNTIFS($D$2:$D189, $D189, $H$2:$H189, $H189)=1, 1, 0)</f>
        <v>1</v>
      </c>
      <c r="N189">
        <f>_xlfn.IFNA(HLOOKUP($J189, fee_reference!$B$1:$E$2, 2, FALSE), 0)</f>
        <v>0</v>
      </c>
    </row>
    <row r="190" spans="1:14" x14ac:dyDescent="0.3">
      <c r="A190" s="2" t="s">
        <v>203</v>
      </c>
      <c r="B190">
        <v>32</v>
      </c>
      <c r="C190">
        <v>31</v>
      </c>
      <c r="D190" t="str">
        <f>IFERROR(VLOOKUP($C190,merchants!$A$2:$D$41,2,FALSE),"Merchant not found")</f>
        <v>Merchant_031</v>
      </c>
      <c r="E190" t="str">
        <f>IFERROR(VLOOKUP($C190, merchants!$A$2:$D$41, 4, FALSE), "Merchant not found")</f>
        <v>East</v>
      </c>
      <c r="F190" t="str">
        <f>IFERROR(VLOOKUP($C190, merchants!$A$2:$D$41, 3, FALSE), "Merchant not found")</f>
        <v>bill_payment</v>
      </c>
      <c r="G190" s="1">
        <v>46037.834027777775</v>
      </c>
      <c r="H190" s="4">
        <f t="shared" si="2"/>
        <v>46037</v>
      </c>
      <c r="I190">
        <v>299</v>
      </c>
      <c r="J190" s="2" t="s">
        <v>12</v>
      </c>
      <c r="K190" s="2" t="s">
        <v>10</v>
      </c>
      <c r="L190">
        <v>51</v>
      </c>
      <c r="M190">
        <f>IF(COUNTIFS($D$2:$D190, $D190, $H$2:$H190, $H190)=1, 1, 0)</f>
        <v>1</v>
      </c>
      <c r="N190">
        <f>_xlfn.IFNA(HLOOKUP($J190, fee_reference!$B$1:$E$2, 2, FALSE), 0)</f>
        <v>0</v>
      </c>
    </row>
    <row r="191" spans="1:14" x14ac:dyDescent="0.3">
      <c r="A191" s="2" t="s">
        <v>204</v>
      </c>
      <c r="B191">
        <v>252</v>
      </c>
      <c r="C191">
        <v>29</v>
      </c>
      <c r="D191" t="str">
        <f>IFERROR(VLOOKUP($C191,merchants!$A$2:$D$41,2,FALSE),"Merchant not found")</f>
        <v>Merchant_029</v>
      </c>
      <c r="E191" t="str">
        <f>IFERROR(VLOOKUP($C191, merchants!$A$2:$D$41, 4, FALSE), "Merchant not found")</f>
        <v>North</v>
      </c>
      <c r="F191" t="str">
        <f>IFERROR(VLOOKUP($C191, merchants!$A$2:$D$41, 3, FALSE), "Merchant not found")</f>
        <v>ecommerce</v>
      </c>
      <c r="G191" s="1">
        <v>46036.879166666666</v>
      </c>
      <c r="H191" s="4">
        <f t="shared" si="2"/>
        <v>46036</v>
      </c>
      <c r="I191">
        <v>1499</v>
      </c>
      <c r="J191" s="2" t="s">
        <v>12</v>
      </c>
      <c r="K191" s="2" t="s">
        <v>10</v>
      </c>
      <c r="L191">
        <v>9</v>
      </c>
      <c r="M191">
        <f>IF(COUNTIFS($D$2:$D191, $D191, $H$2:$H191, $H191)=1, 1, 0)</f>
        <v>1</v>
      </c>
      <c r="N191">
        <f>_xlfn.IFNA(HLOOKUP($J191, fee_reference!$B$1:$E$2, 2, FALSE), 0)</f>
        <v>0</v>
      </c>
    </row>
    <row r="192" spans="1:14" x14ac:dyDescent="0.3">
      <c r="A192" s="2" t="s">
        <v>205</v>
      </c>
      <c r="B192">
        <v>312</v>
      </c>
      <c r="C192">
        <v>10</v>
      </c>
      <c r="D192" t="str">
        <f>IFERROR(VLOOKUP($C192,merchants!$A$2:$D$41,2,FALSE),"Merchant not found")</f>
        <v>Merchant_010</v>
      </c>
      <c r="E192" t="str">
        <f>IFERROR(VLOOKUP($C192, merchants!$A$2:$D$41, 4, FALSE), "Merchant not found")</f>
        <v>West</v>
      </c>
      <c r="F192" t="str">
        <f>IFERROR(VLOOKUP($C192, merchants!$A$2:$D$41, 3, FALSE), "Merchant not found")</f>
        <v>grocery</v>
      </c>
      <c r="G192" s="1">
        <v>46051.097222222219</v>
      </c>
      <c r="H192" s="4">
        <f t="shared" si="2"/>
        <v>46051</v>
      </c>
      <c r="I192">
        <v>799</v>
      </c>
      <c r="J192" s="2" t="s">
        <v>12</v>
      </c>
      <c r="K192" s="2" t="s">
        <v>10</v>
      </c>
      <c r="L192">
        <v>8</v>
      </c>
      <c r="M192">
        <f>IF(COUNTIFS($D$2:$D192, $D192, $H$2:$H192, $H192)=1, 1, 0)</f>
        <v>1</v>
      </c>
      <c r="N192">
        <f>_xlfn.IFNA(HLOOKUP($J192, fee_reference!$B$1:$E$2, 2, FALSE), 0)</f>
        <v>0</v>
      </c>
    </row>
    <row r="193" spans="1:14" x14ac:dyDescent="0.3">
      <c r="A193" s="2" t="s">
        <v>206</v>
      </c>
      <c r="B193">
        <v>325</v>
      </c>
      <c r="C193">
        <v>38</v>
      </c>
      <c r="D193" t="str">
        <f>IFERROR(VLOOKUP($C193,merchants!$A$2:$D$41,2,FALSE),"Merchant not found")</f>
        <v>Merchant_038</v>
      </c>
      <c r="E193" t="str">
        <f>IFERROR(VLOOKUP($C193, merchants!$A$2:$D$41, 4, FALSE), "Merchant not found")</f>
        <v>East</v>
      </c>
      <c r="F193" t="str">
        <f>IFERROR(VLOOKUP($C193, merchants!$A$2:$D$41, 3, FALSE), "Merchant not found")</f>
        <v>grocery</v>
      </c>
      <c r="G193" s="1">
        <v>46027.36041666667</v>
      </c>
      <c r="H193" s="4">
        <f t="shared" si="2"/>
        <v>46027</v>
      </c>
      <c r="I193">
        <v>1499</v>
      </c>
      <c r="J193" s="2" t="s">
        <v>15</v>
      </c>
      <c r="K193" s="2" t="s">
        <v>10</v>
      </c>
      <c r="L193">
        <v>70</v>
      </c>
      <c r="M193">
        <f>IF(COUNTIFS($D$2:$D193, $D193, $H$2:$H193, $H193)=1, 1, 0)</f>
        <v>1</v>
      </c>
      <c r="N193">
        <f>_xlfn.IFNA(HLOOKUP($J193, fee_reference!$B$1:$E$2, 2, FALSE), 0)</f>
        <v>0.01</v>
      </c>
    </row>
    <row r="194" spans="1:14" x14ac:dyDescent="0.3">
      <c r="A194" s="2" t="s">
        <v>207</v>
      </c>
      <c r="B194">
        <v>306</v>
      </c>
      <c r="C194">
        <v>34</v>
      </c>
      <c r="D194" t="str">
        <f>IFERROR(VLOOKUP($C194,merchants!$A$2:$D$41,2,FALSE),"Merchant not found")</f>
        <v>Merchant_034</v>
      </c>
      <c r="E194" t="str">
        <f>IFERROR(VLOOKUP($C194, merchants!$A$2:$D$41, 4, FALSE), "Merchant not found")</f>
        <v>South</v>
      </c>
      <c r="F194" t="str">
        <f>IFERROR(VLOOKUP($C194, merchants!$A$2:$D$41, 3, FALSE), "Merchant not found")</f>
        <v>travel</v>
      </c>
      <c r="G194" s="1">
        <v>46045.433333333334</v>
      </c>
      <c r="H194" s="4">
        <f t="shared" ref="H194:H257" si="3">INT(G194)</f>
        <v>46045</v>
      </c>
      <c r="I194">
        <v>2999</v>
      </c>
      <c r="J194" s="2" t="s">
        <v>12</v>
      </c>
      <c r="K194" s="2" t="s">
        <v>10</v>
      </c>
      <c r="L194">
        <v>37</v>
      </c>
      <c r="M194">
        <f>IF(COUNTIFS($D$2:$D194, $D194, $H$2:$H194, $H194)=1, 1, 0)</f>
        <v>1</v>
      </c>
      <c r="N194">
        <f>_xlfn.IFNA(HLOOKUP($J194, fee_reference!$B$1:$E$2, 2, FALSE), 0)</f>
        <v>0</v>
      </c>
    </row>
    <row r="195" spans="1:14" x14ac:dyDescent="0.3">
      <c r="A195" s="2" t="s">
        <v>208</v>
      </c>
      <c r="B195">
        <v>221</v>
      </c>
      <c r="C195">
        <v>7</v>
      </c>
      <c r="D195" t="str">
        <f>IFERROR(VLOOKUP($C195,merchants!$A$2:$D$41,2,FALSE),"Merchant not found")</f>
        <v>Merchant_007</v>
      </c>
      <c r="E195" t="str">
        <f>IFERROR(VLOOKUP($C195, merchants!$A$2:$D$41, 4, FALSE), "Merchant not found")</f>
        <v>East</v>
      </c>
      <c r="F195" t="str">
        <f>IFERROR(VLOOKUP($C195, merchants!$A$2:$D$41, 3, FALSE), "Merchant not found")</f>
        <v>food_delivery</v>
      </c>
      <c r="G195" s="1">
        <v>46037.693055555559</v>
      </c>
      <c r="H195" s="4">
        <f t="shared" si="3"/>
        <v>46037</v>
      </c>
      <c r="I195">
        <v>149</v>
      </c>
      <c r="J195" s="2" t="s">
        <v>15</v>
      </c>
      <c r="K195" s="2" t="s">
        <v>10</v>
      </c>
      <c r="L195">
        <v>89</v>
      </c>
      <c r="M195">
        <f>IF(COUNTIFS($D$2:$D195, $D195, $H$2:$H195, $H195)=1, 1, 0)</f>
        <v>0</v>
      </c>
      <c r="N195">
        <f>_xlfn.IFNA(HLOOKUP($J195, fee_reference!$B$1:$E$2, 2, FALSE), 0)</f>
        <v>0.01</v>
      </c>
    </row>
    <row r="196" spans="1:14" x14ac:dyDescent="0.3">
      <c r="A196" s="2" t="s">
        <v>209</v>
      </c>
      <c r="B196">
        <v>283</v>
      </c>
      <c r="C196">
        <v>14</v>
      </c>
      <c r="D196" t="str">
        <f>IFERROR(VLOOKUP($C196,merchants!$A$2:$D$41,2,FALSE),"Merchant not found")</f>
        <v>Merchant_014</v>
      </c>
      <c r="E196" t="str">
        <f>IFERROR(VLOOKUP($C196, merchants!$A$2:$D$41, 4, FALSE), "Merchant not found")</f>
        <v>East</v>
      </c>
      <c r="F196" t="str">
        <f>IFERROR(VLOOKUP($C196, merchants!$A$2:$D$41, 3, FALSE), "Merchant not found")</f>
        <v>grocery</v>
      </c>
      <c r="G196" s="1">
        <v>46026.861805555556</v>
      </c>
      <c r="H196" s="4">
        <f t="shared" si="3"/>
        <v>46026</v>
      </c>
      <c r="I196">
        <v>99</v>
      </c>
      <c r="J196" s="2" t="s">
        <v>9</v>
      </c>
      <c r="K196" s="2" t="s">
        <v>10</v>
      </c>
      <c r="L196">
        <v>55</v>
      </c>
      <c r="M196">
        <f>IF(COUNTIFS($D$2:$D196, $D196, $H$2:$H196, $H196)=1, 1, 0)</f>
        <v>1</v>
      </c>
      <c r="N196">
        <f>_xlfn.IFNA(HLOOKUP($J196, fee_reference!$B$1:$E$2, 2, FALSE), 0)</f>
        <v>1.4999999999999999E-2</v>
      </c>
    </row>
    <row r="197" spans="1:14" x14ac:dyDescent="0.3">
      <c r="A197" s="2" t="s">
        <v>210</v>
      </c>
      <c r="B197">
        <v>174</v>
      </c>
      <c r="C197">
        <v>30</v>
      </c>
      <c r="D197" t="str">
        <f>IFERROR(VLOOKUP($C197,merchants!$A$2:$D$41,2,FALSE),"Merchant not found")</f>
        <v>Merchant_030</v>
      </c>
      <c r="E197" t="str">
        <f>IFERROR(VLOOKUP($C197, merchants!$A$2:$D$41, 4, FALSE), "Merchant not found")</f>
        <v>West</v>
      </c>
      <c r="F197" t="str">
        <f>IFERROR(VLOOKUP($C197, merchants!$A$2:$D$41, 3, FALSE), "Merchant not found")</f>
        <v>travel</v>
      </c>
      <c r="G197" s="1">
        <v>46037.30972222222</v>
      </c>
      <c r="H197" s="4">
        <f t="shared" si="3"/>
        <v>46037</v>
      </c>
      <c r="I197">
        <v>49</v>
      </c>
      <c r="J197" s="2" t="s">
        <v>12</v>
      </c>
      <c r="K197" s="2" t="s">
        <v>10</v>
      </c>
      <c r="L197">
        <v>51</v>
      </c>
      <c r="M197">
        <f>IF(COUNTIFS($D$2:$D197, $D197, $H$2:$H197, $H197)=1, 1, 0)</f>
        <v>1</v>
      </c>
      <c r="N197">
        <f>_xlfn.IFNA(HLOOKUP($J197, fee_reference!$B$1:$E$2, 2, FALSE), 0)</f>
        <v>0</v>
      </c>
    </row>
    <row r="198" spans="1:14" x14ac:dyDescent="0.3">
      <c r="A198" s="2" t="s">
        <v>211</v>
      </c>
      <c r="B198">
        <v>161</v>
      </c>
      <c r="C198">
        <v>28</v>
      </c>
      <c r="D198" t="str">
        <f>IFERROR(VLOOKUP($C198,merchants!$A$2:$D$41,2,FALSE),"Merchant not found")</f>
        <v>Merchant_028</v>
      </c>
      <c r="E198" t="str">
        <f>IFERROR(VLOOKUP($C198, merchants!$A$2:$D$41, 4, FALSE), "Merchant not found")</f>
        <v>South</v>
      </c>
      <c r="F198" t="str">
        <f>IFERROR(VLOOKUP($C198, merchants!$A$2:$D$41, 3, FALSE), "Merchant not found")</f>
        <v>ecommerce</v>
      </c>
      <c r="G198" s="1">
        <v>46036.962500000001</v>
      </c>
      <c r="H198" s="4">
        <f t="shared" si="3"/>
        <v>46036</v>
      </c>
      <c r="I198">
        <v>49</v>
      </c>
      <c r="J198" s="2" t="s">
        <v>12</v>
      </c>
      <c r="K198" s="2" t="s">
        <v>10</v>
      </c>
      <c r="L198">
        <v>40</v>
      </c>
      <c r="M198">
        <f>IF(COUNTIFS($D$2:$D198, $D198, $H$2:$H198, $H198)=1, 1, 0)</f>
        <v>1</v>
      </c>
      <c r="N198">
        <f>_xlfn.IFNA(HLOOKUP($J198, fee_reference!$B$1:$E$2, 2, FALSE), 0)</f>
        <v>0</v>
      </c>
    </row>
    <row r="199" spans="1:14" x14ac:dyDescent="0.3">
      <c r="A199" s="2" t="s">
        <v>212</v>
      </c>
      <c r="B199">
        <v>79</v>
      </c>
      <c r="C199">
        <v>31</v>
      </c>
      <c r="D199" t="str">
        <f>IFERROR(VLOOKUP($C199,merchants!$A$2:$D$41,2,FALSE),"Merchant not found")</f>
        <v>Merchant_031</v>
      </c>
      <c r="E199" t="str">
        <f>IFERROR(VLOOKUP($C199, merchants!$A$2:$D$41, 4, FALSE), "Merchant not found")</f>
        <v>East</v>
      </c>
      <c r="F199" t="str">
        <f>IFERROR(VLOOKUP($C199, merchants!$A$2:$D$41, 3, FALSE), "Merchant not found")</f>
        <v>bill_payment</v>
      </c>
      <c r="G199" s="1">
        <v>46044.349305555559</v>
      </c>
      <c r="H199" s="4">
        <f t="shared" si="3"/>
        <v>46044</v>
      </c>
      <c r="I199">
        <v>99</v>
      </c>
      <c r="J199" s="2" t="s">
        <v>12</v>
      </c>
      <c r="K199" s="2" t="s">
        <v>10</v>
      </c>
      <c r="L199">
        <v>8</v>
      </c>
      <c r="M199">
        <f>IF(COUNTIFS($D$2:$D199, $D199, $H$2:$H199, $H199)=1, 1, 0)</f>
        <v>1</v>
      </c>
      <c r="N199">
        <f>_xlfn.IFNA(HLOOKUP($J199, fee_reference!$B$1:$E$2, 2, FALSE), 0)</f>
        <v>0</v>
      </c>
    </row>
    <row r="200" spans="1:14" x14ac:dyDescent="0.3">
      <c r="A200" s="2" t="s">
        <v>213</v>
      </c>
      <c r="B200">
        <v>222</v>
      </c>
      <c r="C200">
        <v>7</v>
      </c>
      <c r="D200" t="str">
        <f>IFERROR(VLOOKUP($C200,merchants!$A$2:$D$41,2,FALSE),"Merchant not found")</f>
        <v>Merchant_007</v>
      </c>
      <c r="E200" t="str">
        <f>IFERROR(VLOOKUP($C200, merchants!$A$2:$D$41, 4, FALSE), "Merchant not found")</f>
        <v>East</v>
      </c>
      <c r="F200" t="str">
        <f>IFERROR(VLOOKUP($C200, merchants!$A$2:$D$41, 3, FALSE), "Merchant not found")</f>
        <v>food_delivery</v>
      </c>
      <c r="G200" s="1">
        <v>46025.086805555555</v>
      </c>
      <c r="H200" s="4">
        <f t="shared" si="3"/>
        <v>46025</v>
      </c>
      <c r="I200">
        <v>149</v>
      </c>
      <c r="J200" s="2" t="s">
        <v>9</v>
      </c>
      <c r="K200" s="2" t="s">
        <v>10</v>
      </c>
      <c r="L200">
        <v>95</v>
      </c>
      <c r="M200">
        <f>IF(COUNTIFS($D$2:$D200, $D200, $H$2:$H200, $H200)=1, 1, 0)</f>
        <v>1</v>
      </c>
      <c r="N200">
        <f>_xlfn.IFNA(HLOOKUP($J200, fee_reference!$B$1:$E$2, 2, FALSE), 0)</f>
        <v>1.4999999999999999E-2</v>
      </c>
    </row>
    <row r="201" spans="1:14" x14ac:dyDescent="0.3">
      <c r="A201" s="2" t="s">
        <v>214</v>
      </c>
      <c r="B201">
        <v>67</v>
      </c>
      <c r="C201">
        <v>36</v>
      </c>
      <c r="D201" t="str">
        <f>IFERROR(VLOOKUP($C201,merchants!$A$2:$D$41,2,FALSE),"Merchant not found")</f>
        <v>Merchant_036</v>
      </c>
      <c r="E201" t="str">
        <f>IFERROR(VLOOKUP($C201, merchants!$A$2:$D$41, 4, FALSE), "Merchant not found")</f>
        <v>East</v>
      </c>
      <c r="F201" t="str">
        <f>IFERROR(VLOOKUP($C201, merchants!$A$2:$D$41, 3, FALSE), "Merchant not found")</f>
        <v>entertainment</v>
      </c>
      <c r="G201" s="1">
        <v>46046.493750000001</v>
      </c>
      <c r="H201" s="4">
        <f t="shared" si="3"/>
        <v>46046</v>
      </c>
      <c r="I201">
        <v>99</v>
      </c>
      <c r="J201" s="2" t="s">
        <v>12</v>
      </c>
      <c r="K201" s="2" t="s">
        <v>10</v>
      </c>
      <c r="L201">
        <v>7</v>
      </c>
      <c r="M201">
        <f>IF(COUNTIFS($D$2:$D201, $D201, $H$2:$H201, $H201)=1, 1, 0)</f>
        <v>1</v>
      </c>
      <c r="N201">
        <f>_xlfn.IFNA(HLOOKUP($J201, fee_reference!$B$1:$E$2, 2, FALSE), 0)</f>
        <v>0</v>
      </c>
    </row>
    <row r="202" spans="1:14" x14ac:dyDescent="0.3">
      <c r="A202" s="2" t="s">
        <v>215</v>
      </c>
      <c r="B202">
        <v>169</v>
      </c>
      <c r="C202">
        <v>8</v>
      </c>
      <c r="D202" t="str">
        <f>IFERROR(VLOOKUP($C202,merchants!$A$2:$D$41,2,FALSE),"Merchant not found")</f>
        <v>Merchant_008</v>
      </c>
      <c r="E202" t="str">
        <f>IFERROR(VLOOKUP($C202, merchants!$A$2:$D$41, 4, FALSE), "Merchant not found")</f>
        <v>North</v>
      </c>
      <c r="F202" t="str">
        <f>IFERROR(VLOOKUP($C202, merchants!$A$2:$D$41, 3, FALSE), "Merchant not found")</f>
        <v>food_delivery</v>
      </c>
      <c r="G202" s="1">
        <v>46041.732638888891</v>
      </c>
      <c r="H202" s="4">
        <f t="shared" si="3"/>
        <v>46041</v>
      </c>
      <c r="I202">
        <v>99</v>
      </c>
      <c r="J202" s="2" t="s">
        <v>12</v>
      </c>
      <c r="K202" s="2" t="s">
        <v>10</v>
      </c>
      <c r="L202">
        <v>52</v>
      </c>
      <c r="M202">
        <f>IF(COUNTIFS($D$2:$D202, $D202, $H$2:$H202, $H202)=1, 1, 0)</f>
        <v>1</v>
      </c>
      <c r="N202">
        <f>_xlfn.IFNA(HLOOKUP($J202, fee_reference!$B$1:$E$2, 2, FALSE), 0)</f>
        <v>0</v>
      </c>
    </row>
    <row r="203" spans="1:14" x14ac:dyDescent="0.3">
      <c r="A203" s="2" t="s">
        <v>216</v>
      </c>
      <c r="B203">
        <v>217</v>
      </c>
      <c r="C203">
        <v>4</v>
      </c>
      <c r="D203" t="str">
        <f>IFERROR(VLOOKUP($C203,merchants!$A$2:$D$41,2,FALSE),"Merchant not found")</f>
        <v>Merchant_004</v>
      </c>
      <c r="E203" t="str">
        <f>IFERROR(VLOOKUP($C203, merchants!$A$2:$D$41, 4, FALSE), "Merchant not found")</f>
        <v>East</v>
      </c>
      <c r="F203" t="str">
        <f>IFERROR(VLOOKUP($C203, merchants!$A$2:$D$41, 3, FALSE), "Merchant not found")</f>
        <v>ecommerce</v>
      </c>
      <c r="G203" s="1">
        <v>46034.908333333333</v>
      </c>
      <c r="H203" s="4">
        <f t="shared" si="3"/>
        <v>46034</v>
      </c>
      <c r="I203">
        <v>49</v>
      </c>
      <c r="J203" s="2" t="s">
        <v>12</v>
      </c>
      <c r="K203" s="2" t="s">
        <v>10</v>
      </c>
      <c r="L203">
        <v>36</v>
      </c>
      <c r="M203">
        <f>IF(COUNTIFS($D$2:$D203, $D203, $H$2:$H203, $H203)=1, 1, 0)</f>
        <v>1</v>
      </c>
      <c r="N203">
        <f>_xlfn.IFNA(HLOOKUP($J203, fee_reference!$B$1:$E$2, 2, FALSE), 0)</f>
        <v>0</v>
      </c>
    </row>
    <row r="204" spans="1:14" x14ac:dyDescent="0.3">
      <c r="A204" s="2" t="s">
        <v>217</v>
      </c>
      <c r="B204">
        <v>54</v>
      </c>
      <c r="C204">
        <v>37</v>
      </c>
      <c r="D204" t="str">
        <f>IFERROR(VLOOKUP($C204,merchants!$A$2:$D$41,2,FALSE),"Merchant not found")</f>
        <v>Merchant_037</v>
      </c>
      <c r="E204" t="str">
        <f>IFERROR(VLOOKUP($C204, merchants!$A$2:$D$41, 4, FALSE), "Merchant not found")</f>
        <v>South</v>
      </c>
      <c r="F204" t="str">
        <f>IFERROR(VLOOKUP($C204, merchants!$A$2:$D$41, 3, FALSE), "Merchant not found")</f>
        <v>entertainment</v>
      </c>
      <c r="G204" s="1">
        <v>46042.390277777777</v>
      </c>
      <c r="H204" s="4">
        <f t="shared" si="3"/>
        <v>46042</v>
      </c>
      <c r="I204">
        <v>149</v>
      </c>
      <c r="J204" s="2" t="s">
        <v>12</v>
      </c>
      <c r="K204" s="2" t="s">
        <v>10</v>
      </c>
      <c r="L204">
        <v>64</v>
      </c>
      <c r="M204">
        <f>IF(COUNTIFS($D$2:$D204, $D204, $H$2:$H204, $H204)=1, 1, 0)</f>
        <v>1</v>
      </c>
      <c r="N204">
        <f>_xlfn.IFNA(HLOOKUP($J204, fee_reference!$B$1:$E$2, 2, FALSE), 0)</f>
        <v>0</v>
      </c>
    </row>
    <row r="205" spans="1:14" x14ac:dyDescent="0.3">
      <c r="A205" s="2" t="s">
        <v>218</v>
      </c>
      <c r="B205">
        <v>247</v>
      </c>
      <c r="C205">
        <v>15</v>
      </c>
      <c r="D205" t="str">
        <f>IFERROR(VLOOKUP($C205,merchants!$A$2:$D$41,2,FALSE),"Merchant not found")</f>
        <v>Merchant_015</v>
      </c>
      <c r="E205" t="str">
        <f>IFERROR(VLOOKUP($C205, merchants!$A$2:$D$41, 4, FALSE), "Merchant not found")</f>
        <v>North</v>
      </c>
      <c r="F205" t="str">
        <f>IFERROR(VLOOKUP($C205, merchants!$A$2:$D$41, 3, FALSE), "Merchant not found")</f>
        <v>travel</v>
      </c>
      <c r="G205" s="1">
        <v>46029.195833333331</v>
      </c>
      <c r="H205" s="4">
        <f t="shared" si="3"/>
        <v>46029</v>
      </c>
      <c r="I205">
        <v>49</v>
      </c>
      <c r="J205" s="2" t="s">
        <v>24</v>
      </c>
      <c r="K205" s="2" t="s">
        <v>10</v>
      </c>
      <c r="L205">
        <v>13</v>
      </c>
      <c r="M205">
        <f>IF(COUNTIFS($D$2:$D205, $D205, $H$2:$H205, $H205)=1, 1, 0)</f>
        <v>1</v>
      </c>
      <c r="N205">
        <f>_xlfn.IFNA(HLOOKUP($J205, fee_reference!$B$1:$E$2, 2, FALSE), 0)</f>
        <v>2.5000000000000001E-2</v>
      </c>
    </row>
    <row r="206" spans="1:14" x14ac:dyDescent="0.3">
      <c r="A206" s="2" t="s">
        <v>219</v>
      </c>
      <c r="B206">
        <v>59</v>
      </c>
      <c r="C206">
        <v>18</v>
      </c>
      <c r="D206" t="str">
        <f>IFERROR(VLOOKUP($C206,merchants!$A$2:$D$41,2,FALSE),"Merchant not found")</f>
        <v>Merchant_018</v>
      </c>
      <c r="E206" t="str">
        <f>IFERROR(VLOOKUP($C206, merchants!$A$2:$D$41, 4, FALSE), "Merchant not found")</f>
        <v>West</v>
      </c>
      <c r="F206" t="str">
        <f>IFERROR(VLOOKUP($C206, merchants!$A$2:$D$41, 3, FALSE), "Merchant not found")</f>
        <v>grocery</v>
      </c>
      <c r="G206" s="1">
        <v>46034.724305555559</v>
      </c>
      <c r="H206" s="4">
        <f t="shared" si="3"/>
        <v>46034</v>
      </c>
      <c r="I206">
        <v>49</v>
      </c>
      <c r="J206" s="2" t="s">
        <v>24</v>
      </c>
      <c r="K206" s="2" t="s">
        <v>10</v>
      </c>
      <c r="L206">
        <v>73</v>
      </c>
      <c r="M206">
        <f>IF(COUNTIFS($D$2:$D206, $D206, $H$2:$H206, $H206)=1, 1, 0)</f>
        <v>1</v>
      </c>
      <c r="N206">
        <f>_xlfn.IFNA(HLOOKUP($J206, fee_reference!$B$1:$E$2, 2, FALSE), 0)</f>
        <v>2.5000000000000001E-2</v>
      </c>
    </row>
    <row r="207" spans="1:14" x14ac:dyDescent="0.3">
      <c r="A207" s="2" t="s">
        <v>220</v>
      </c>
      <c r="B207">
        <v>288</v>
      </c>
      <c r="C207">
        <v>40</v>
      </c>
      <c r="D207" t="str">
        <f>IFERROR(VLOOKUP($C207,merchants!$A$2:$D$41,2,FALSE),"Merchant not found")</f>
        <v>Merchant_040</v>
      </c>
      <c r="E207" t="str">
        <f>IFERROR(VLOOKUP($C207, merchants!$A$2:$D$41, 4, FALSE), "Merchant not found")</f>
        <v>South</v>
      </c>
      <c r="F207" t="str">
        <f>IFERROR(VLOOKUP($C207, merchants!$A$2:$D$41, 3, FALSE), "Merchant not found")</f>
        <v>entertainment</v>
      </c>
      <c r="G207" s="1">
        <v>46030.57916666667</v>
      </c>
      <c r="H207" s="4">
        <f t="shared" si="3"/>
        <v>46030</v>
      </c>
      <c r="I207">
        <v>49</v>
      </c>
      <c r="J207" s="2" t="s">
        <v>12</v>
      </c>
      <c r="K207" s="2" t="s">
        <v>25</v>
      </c>
      <c r="L207">
        <v>78</v>
      </c>
      <c r="M207">
        <f>IF(COUNTIFS($D$2:$D207, $D207, $H$2:$H207, $H207)=1, 1, 0)</f>
        <v>1</v>
      </c>
      <c r="N207">
        <f>_xlfn.IFNA(HLOOKUP($J207, fee_reference!$B$1:$E$2, 2, FALSE), 0)</f>
        <v>0</v>
      </c>
    </row>
    <row r="208" spans="1:14" x14ac:dyDescent="0.3">
      <c r="A208" s="2" t="s">
        <v>221</v>
      </c>
      <c r="B208">
        <v>14</v>
      </c>
      <c r="C208">
        <v>39</v>
      </c>
      <c r="D208" t="str">
        <f>IFERROR(VLOOKUP($C208,merchants!$A$2:$D$41,2,FALSE),"Merchant not found")</f>
        <v>Merchant_039</v>
      </c>
      <c r="E208" t="str">
        <f>IFERROR(VLOOKUP($C208, merchants!$A$2:$D$41, 4, FALSE), "Merchant not found")</f>
        <v>North</v>
      </c>
      <c r="F208" t="str">
        <f>IFERROR(VLOOKUP($C208, merchants!$A$2:$D$41, 3, FALSE), "Merchant not found")</f>
        <v>entertainment</v>
      </c>
      <c r="G208" s="1">
        <v>46044.857638888891</v>
      </c>
      <c r="H208" s="4">
        <f t="shared" si="3"/>
        <v>46044</v>
      </c>
      <c r="I208">
        <v>799</v>
      </c>
      <c r="J208" s="2" t="s">
        <v>12</v>
      </c>
      <c r="K208" s="2" t="s">
        <v>10</v>
      </c>
      <c r="L208">
        <v>84</v>
      </c>
      <c r="M208">
        <f>IF(COUNTIFS($D$2:$D208, $D208, $H$2:$H208, $H208)=1, 1, 0)</f>
        <v>0</v>
      </c>
      <c r="N208">
        <f>_xlfn.IFNA(HLOOKUP($J208, fee_reference!$B$1:$E$2, 2, FALSE), 0)</f>
        <v>0</v>
      </c>
    </row>
    <row r="209" spans="1:14" x14ac:dyDescent="0.3">
      <c r="A209" s="2" t="s">
        <v>222</v>
      </c>
      <c r="B209">
        <v>15</v>
      </c>
      <c r="C209">
        <v>12</v>
      </c>
      <c r="D209" t="str">
        <f>IFERROR(VLOOKUP($C209,merchants!$A$2:$D$41,2,FALSE),"Merchant not found")</f>
        <v>Merchant_012</v>
      </c>
      <c r="E209" t="str">
        <f>IFERROR(VLOOKUP($C209, merchants!$A$2:$D$41, 4, FALSE), "Merchant not found")</f>
        <v>East</v>
      </c>
      <c r="F209" t="str">
        <f>IFERROR(VLOOKUP($C209, merchants!$A$2:$D$41, 3, FALSE), "Merchant not found")</f>
        <v>ecommerce</v>
      </c>
      <c r="G209" s="1">
        <v>46049.928472222222</v>
      </c>
      <c r="H209" s="4">
        <f t="shared" si="3"/>
        <v>46049</v>
      </c>
      <c r="I209">
        <v>149</v>
      </c>
      <c r="J209" s="2" t="s">
        <v>12</v>
      </c>
      <c r="K209" s="2" t="s">
        <v>10</v>
      </c>
      <c r="L209">
        <v>34</v>
      </c>
      <c r="M209">
        <f>IF(COUNTIFS($D$2:$D209, $D209, $H$2:$H209, $H209)=1, 1, 0)</f>
        <v>1</v>
      </c>
      <c r="N209">
        <f>_xlfn.IFNA(HLOOKUP($J209, fee_reference!$B$1:$E$2, 2, FALSE), 0)</f>
        <v>0</v>
      </c>
    </row>
    <row r="210" spans="1:14" x14ac:dyDescent="0.3">
      <c r="A210" s="2" t="s">
        <v>223</v>
      </c>
      <c r="B210">
        <v>174</v>
      </c>
      <c r="C210">
        <v>23</v>
      </c>
      <c r="D210" t="str">
        <f>IFERROR(VLOOKUP($C210,merchants!$A$2:$D$41,2,FALSE),"Merchant not found")</f>
        <v>Merchant_023</v>
      </c>
      <c r="E210" t="str">
        <f>IFERROR(VLOOKUP($C210, merchants!$A$2:$D$41, 4, FALSE), "Merchant not found")</f>
        <v>North</v>
      </c>
      <c r="F210" t="str">
        <f>IFERROR(VLOOKUP($C210, merchants!$A$2:$D$41, 3, FALSE), "Merchant not found")</f>
        <v>travel</v>
      </c>
      <c r="G210" s="1">
        <v>46045.415277777778</v>
      </c>
      <c r="H210" s="4">
        <f t="shared" si="3"/>
        <v>46045</v>
      </c>
      <c r="I210">
        <v>149</v>
      </c>
      <c r="J210" s="2" t="s">
        <v>12</v>
      </c>
      <c r="K210" s="2" t="s">
        <v>10</v>
      </c>
      <c r="L210">
        <v>0</v>
      </c>
      <c r="M210">
        <f>IF(COUNTIFS($D$2:$D210, $D210, $H$2:$H210, $H210)=1, 1, 0)</f>
        <v>1</v>
      </c>
      <c r="N210">
        <f>_xlfn.IFNA(HLOOKUP($J210, fee_reference!$B$1:$E$2, 2, FALSE), 0)</f>
        <v>0</v>
      </c>
    </row>
    <row r="211" spans="1:14" x14ac:dyDescent="0.3">
      <c r="A211" s="2" t="s">
        <v>224</v>
      </c>
      <c r="B211">
        <v>337</v>
      </c>
      <c r="C211">
        <v>26</v>
      </c>
      <c r="D211" t="str">
        <f>IFERROR(VLOOKUP($C211,merchants!$A$2:$D$41,2,FALSE),"Merchant not found")</f>
        <v>Merchant_026</v>
      </c>
      <c r="E211" t="str">
        <f>IFERROR(VLOOKUP($C211, merchants!$A$2:$D$41, 4, FALSE), "Merchant not found")</f>
        <v>East</v>
      </c>
      <c r="F211" t="str">
        <f>IFERROR(VLOOKUP($C211, merchants!$A$2:$D$41, 3, FALSE), "Merchant not found")</f>
        <v>food_delivery</v>
      </c>
      <c r="G211" s="1">
        <v>46028.191666666666</v>
      </c>
      <c r="H211" s="4">
        <f t="shared" si="3"/>
        <v>46028</v>
      </c>
      <c r="I211">
        <v>49</v>
      </c>
      <c r="J211" s="2" t="s">
        <v>12</v>
      </c>
      <c r="K211" s="2" t="s">
        <v>10</v>
      </c>
      <c r="L211">
        <v>8</v>
      </c>
      <c r="M211">
        <f>IF(COUNTIFS($D$2:$D211, $D211, $H$2:$H211, $H211)=1, 1, 0)</f>
        <v>1</v>
      </c>
      <c r="N211">
        <f>_xlfn.IFNA(HLOOKUP($J211, fee_reference!$B$1:$E$2, 2, FALSE), 0)</f>
        <v>0</v>
      </c>
    </row>
    <row r="212" spans="1:14" x14ac:dyDescent="0.3">
      <c r="A212" s="2" t="s">
        <v>225</v>
      </c>
      <c r="B212">
        <v>16</v>
      </c>
      <c r="C212">
        <v>6</v>
      </c>
      <c r="D212" t="str">
        <f>IFERROR(VLOOKUP($C212,merchants!$A$2:$D$41,2,FALSE),"Merchant not found")</f>
        <v>Merchant_006</v>
      </c>
      <c r="E212" t="str">
        <f>IFERROR(VLOOKUP($C212, merchants!$A$2:$D$41, 4, FALSE), "Merchant not found")</f>
        <v>South</v>
      </c>
      <c r="F212" t="str">
        <f>IFERROR(VLOOKUP($C212, merchants!$A$2:$D$41, 3, FALSE), "Merchant not found")</f>
        <v>food_delivery</v>
      </c>
      <c r="G212" s="1">
        <v>46027.986111111109</v>
      </c>
      <c r="H212" s="4">
        <f t="shared" si="3"/>
        <v>46027</v>
      </c>
      <c r="I212">
        <v>1499</v>
      </c>
      <c r="J212" s="2" t="s">
        <v>12</v>
      </c>
      <c r="K212" s="2" t="s">
        <v>10</v>
      </c>
      <c r="L212">
        <v>95</v>
      </c>
      <c r="M212">
        <f>IF(COUNTIFS($D$2:$D212, $D212, $H$2:$H212, $H212)=1, 1, 0)</f>
        <v>1</v>
      </c>
      <c r="N212">
        <f>_xlfn.IFNA(HLOOKUP($J212, fee_reference!$B$1:$E$2, 2, FALSE), 0)</f>
        <v>0</v>
      </c>
    </row>
    <row r="213" spans="1:14" x14ac:dyDescent="0.3">
      <c r="A213" s="2" t="s">
        <v>226</v>
      </c>
      <c r="B213">
        <v>215</v>
      </c>
      <c r="C213">
        <v>30</v>
      </c>
      <c r="D213" t="str">
        <f>IFERROR(VLOOKUP($C213,merchants!$A$2:$D$41,2,FALSE),"Merchant not found")</f>
        <v>Merchant_030</v>
      </c>
      <c r="E213" t="str">
        <f>IFERROR(VLOOKUP($C213, merchants!$A$2:$D$41, 4, FALSE), "Merchant not found")</f>
        <v>West</v>
      </c>
      <c r="F213" t="str">
        <f>IFERROR(VLOOKUP($C213, merchants!$A$2:$D$41, 3, FALSE), "Merchant not found")</f>
        <v>travel</v>
      </c>
      <c r="G213" s="1">
        <v>46039.26666666667</v>
      </c>
      <c r="H213" s="4">
        <f t="shared" si="3"/>
        <v>46039</v>
      </c>
      <c r="I213">
        <v>49</v>
      </c>
      <c r="J213" s="2" t="s">
        <v>12</v>
      </c>
      <c r="K213" s="2" t="s">
        <v>10</v>
      </c>
      <c r="L213">
        <v>43</v>
      </c>
      <c r="M213">
        <f>IF(COUNTIFS($D$2:$D213, $D213, $H$2:$H213, $H213)=1, 1, 0)</f>
        <v>1</v>
      </c>
      <c r="N213">
        <f>_xlfn.IFNA(HLOOKUP($J213, fee_reference!$B$1:$E$2, 2, FALSE), 0)</f>
        <v>0</v>
      </c>
    </row>
    <row r="214" spans="1:14" x14ac:dyDescent="0.3">
      <c r="A214" s="2" t="s">
        <v>227</v>
      </c>
      <c r="B214">
        <v>167</v>
      </c>
      <c r="C214">
        <v>37</v>
      </c>
      <c r="D214" t="str">
        <f>IFERROR(VLOOKUP($C214,merchants!$A$2:$D$41,2,FALSE),"Merchant not found")</f>
        <v>Merchant_037</v>
      </c>
      <c r="E214" t="str">
        <f>IFERROR(VLOOKUP($C214, merchants!$A$2:$D$41, 4, FALSE), "Merchant not found")</f>
        <v>South</v>
      </c>
      <c r="F214" t="str">
        <f>IFERROR(VLOOKUP($C214, merchants!$A$2:$D$41, 3, FALSE), "Merchant not found")</f>
        <v>entertainment</v>
      </c>
      <c r="G214" s="1">
        <v>46028.47152777778</v>
      </c>
      <c r="H214" s="4">
        <f t="shared" si="3"/>
        <v>46028</v>
      </c>
      <c r="I214">
        <v>99</v>
      </c>
      <c r="J214" s="2" t="s">
        <v>12</v>
      </c>
      <c r="K214" s="2" t="s">
        <v>10</v>
      </c>
      <c r="L214">
        <v>76</v>
      </c>
      <c r="M214">
        <f>IF(COUNTIFS($D$2:$D214, $D214, $H$2:$H214, $H214)=1, 1, 0)</f>
        <v>1</v>
      </c>
      <c r="N214">
        <f>_xlfn.IFNA(HLOOKUP($J214, fee_reference!$B$1:$E$2, 2, FALSE), 0)</f>
        <v>0</v>
      </c>
    </row>
    <row r="215" spans="1:14" x14ac:dyDescent="0.3">
      <c r="A215" s="2" t="s">
        <v>228</v>
      </c>
      <c r="B215">
        <v>81</v>
      </c>
      <c r="C215">
        <v>40</v>
      </c>
      <c r="D215" t="str">
        <f>IFERROR(VLOOKUP($C215,merchants!$A$2:$D$41,2,FALSE),"Merchant not found")</f>
        <v>Merchant_040</v>
      </c>
      <c r="E215" t="str">
        <f>IFERROR(VLOOKUP($C215, merchants!$A$2:$D$41, 4, FALSE), "Merchant not found")</f>
        <v>South</v>
      </c>
      <c r="F215" t="str">
        <f>IFERROR(VLOOKUP($C215, merchants!$A$2:$D$41, 3, FALSE), "Merchant not found")</f>
        <v>entertainment</v>
      </c>
      <c r="G215" s="1">
        <v>46025.04791666667</v>
      </c>
      <c r="H215" s="4">
        <f t="shared" si="3"/>
        <v>46025</v>
      </c>
      <c r="I215">
        <v>49</v>
      </c>
      <c r="J215" s="2" t="s">
        <v>12</v>
      </c>
      <c r="K215" s="2" t="s">
        <v>10</v>
      </c>
      <c r="L215">
        <v>6</v>
      </c>
      <c r="M215">
        <f>IF(COUNTIFS($D$2:$D215, $D215, $H$2:$H215, $H215)=1, 1, 0)</f>
        <v>1</v>
      </c>
      <c r="N215">
        <f>_xlfn.IFNA(HLOOKUP($J215, fee_reference!$B$1:$E$2, 2, FALSE), 0)</f>
        <v>0</v>
      </c>
    </row>
    <row r="216" spans="1:14" x14ac:dyDescent="0.3">
      <c r="A216" s="2" t="s">
        <v>229</v>
      </c>
      <c r="B216">
        <v>227</v>
      </c>
      <c r="C216">
        <v>28</v>
      </c>
      <c r="D216" t="str">
        <f>IFERROR(VLOOKUP($C216,merchants!$A$2:$D$41,2,FALSE),"Merchant not found")</f>
        <v>Merchant_028</v>
      </c>
      <c r="E216" t="str">
        <f>IFERROR(VLOOKUP($C216, merchants!$A$2:$D$41, 4, FALSE), "Merchant not found")</f>
        <v>South</v>
      </c>
      <c r="F216" t="str">
        <f>IFERROR(VLOOKUP($C216, merchants!$A$2:$D$41, 3, FALSE), "Merchant not found")</f>
        <v>ecommerce</v>
      </c>
      <c r="G216" s="1">
        <v>46044.095138888886</v>
      </c>
      <c r="H216" s="4">
        <f t="shared" si="3"/>
        <v>46044</v>
      </c>
      <c r="I216">
        <v>99</v>
      </c>
      <c r="J216" s="2" t="s">
        <v>12</v>
      </c>
      <c r="K216" s="2" t="s">
        <v>10</v>
      </c>
      <c r="L216">
        <v>62</v>
      </c>
      <c r="M216">
        <f>IF(COUNTIFS($D$2:$D216, $D216, $H$2:$H216, $H216)=1, 1, 0)</f>
        <v>1</v>
      </c>
      <c r="N216">
        <f>_xlfn.IFNA(HLOOKUP($J216, fee_reference!$B$1:$E$2, 2, FALSE), 0)</f>
        <v>0</v>
      </c>
    </row>
    <row r="217" spans="1:14" x14ac:dyDescent="0.3">
      <c r="A217" s="2" t="s">
        <v>230</v>
      </c>
      <c r="B217">
        <v>140</v>
      </c>
      <c r="C217">
        <v>14</v>
      </c>
      <c r="D217" t="str">
        <f>IFERROR(VLOOKUP($C217,merchants!$A$2:$D$41,2,FALSE),"Merchant not found")</f>
        <v>Merchant_014</v>
      </c>
      <c r="E217" t="str">
        <f>IFERROR(VLOOKUP($C217, merchants!$A$2:$D$41, 4, FALSE), "Merchant not found")</f>
        <v>East</v>
      </c>
      <c r="F217" t="str">
        <f>IFERROR(VLOOKUP($C217, merchants!$A$2:$D$41, 3, FALSE), "Merchant not found")</f>
        <v>grocery</v>
      </c>
      <c r="G217" s="1">
        <v>46042.601388888892</v>
      </c>
      <c r="H217" s="4">
        <f t="shared" si="3"/>
        <v>46042</v>
      </c>
      <c r="I217">
        <v>299</v>
      </c>
      <c r="J217" s="2" t="s">
        <v>9</v>
      </c>
      <c r="K217" s="2" t="s">
        <v>10</v>
      </c>
      <c r="L217">
        <v>96</v>
      </c>
      <c r="M217">
        <f>IF(COUNTIFS($D$2:$D217, $D217, $H$2:$H217, $H217)=1, 1, 0)</f>
        <v>1</v>
      </c>
      <c r="N217">
        <f>_xlfn.IFNA(HLOOKUP($J217, fee_reference!$B$1:$E$2, 2, FALSE), 0)</f>
        <v>1.4999999999999999E-2</v>
      </c>
    </row>
    <row r="218" spans="1:14" x14ac:dyDescent="0.3">
      <c r="A218" s="2" t="s">
        <v>231</v>
      </c>
      <c r="B218">
        <v>221</v>
      </c>
      <c r="C218">
        <v>8</v>
      </c>
      <c r="D218" t="str">
        <f>IFERROR(VLOOKUP($C218,merchants!$A$2:$D$41,2,FALSE),"Merchant not found")</f>
        <v>Merchant_008</v>
      </c>
      <c r="E218" t="str">
        <f>IFERROR(VLOOKUP($C218, merchants!$A$2:$D$41, 4, FALSE), "Merchant not found")</f>
        <v>North</v>
      </c>
      <c r="F218" t="str">
        <f>IFERROR(VLOOKUP($C218, merchants!$A$2:$D$41, 3, FALSE), "Merchant not found")</f>
        <v>food_delivery</v>
      </c>
      <c r="G218" s="1">
        <v>46039.140277777777</v>
      </c>
      <c r="H218" s="4">
        <f t="shared" si="3"/>
        <v>46039</v>
      </c>
      <c r="I218">
        <v>299</v>
      </c>
      <c r="J218" s="2" t="s">
        <v>12</v>
      </c>
      <c r="K218" s="2" t="s">
        <v>10</v>
      </c>
      <c r="L218">
        <v>36</v>
      </c>
      <c r="M218">
        <f>IF(COUNTIFS($D$2:$D218, $D218, $H$2:$H218, $H218)=1, 1, 0)</f>
        <v>1</v>
      </c>
      <c r="N218">
        <f>_xlfn.IFNA(HLOOKUP($J218, fee_reference!$B$1:$E$2, 2, FALSE), 0)</f>
        <v>0</v>
      </c>
    </row>
    <row r="219" spans="1:14" x14ac:dyDescent="0.3">
      <c r="A219" s="2" t="s">
        <v>232</v>
      </c>
      <c r="B219">
        <v>250</v>
      </c>
      <c r="C219">
        <v>34</v>
      </c>
      <c r="D219" t="str">
        <f>IFERROR(VLOOKUP($C219,merchants!$A$2:$D$41,2,FALSE),"Merchant not found")</f>
        <v>Merchant_034</v>
      </c>
      <c r="E219" t="str">
        <f>IFERROR(VLOOKUP($C219, merchants!$A$2:$D$41, 4, FALSE), "Merchant not found")</f>
        <v>South</v>
      </c>
      <c r="F219" t="str">
        <f>IFERROR(VLOOKUP($C219, merchants!$A$2:$D$41, 3, FALSE), "Merchant not found")</f>
        <v>travel</v>
      </c>
      <c r="G219" s="1">
        <v>46044.900694444441</v>
      </c>
      <c r="H219" s="4">
        <f t="shared" si="3"/>
        <v>46044</v>
      </c>
      <c r="I219">
        <v>299</v>
      </c>
      <c r="J219" s="2" t="s">
        <v>9</v>
      </c>
      <c r="K219" s="2" t="s">
        <v>10</v>
      </c>
      <c r="L219">
        <v>85</v>
      </c>
      <c r="M219">
        <f>IF(COUNTIFS($D$2:$D219, $D219, $H$2:$H219, $H219)=1, 1, 0)</f>
        <v>1</v>
      </c>
      <c r="N219">
        <f>_xlfn.IFNA(HLOOKUP($J219, fee_reference!$B$1:$E$2, 2, FALSE), 0)</f>
        <v>1.4999999999999999E-2</v>
      </c>
    </row>
    <row r="220" spans="1:14" x14ac:dyDescent="0.3">
      <c r="A220" s="2" t="s">
        <v>233</v>
      </c>
      <c r="B220">
        <v>203</v>
      </c>
      <c r="C220">
        <v>39</v>
      </c>
      <c r="D220" t="str">
        <f>IFERROR(VLOOKUP($C220,merchants!$A$2:$D$41,2,FALSE),"Merchant not found")</f>
        <v>Merchant_039</v>
      </c>
      <c r="E220" t="str">
        <f>IFERROR(VLOOKUP($C220, merchants!$A$2:$D$41, 4, FALSE), "Merchant not found")</f>
        <v>North</v>
      </c>
      <c r="F220" t="str">
        <f>IFERROR(VLOOKUP($C220, merchants!$A$2:$D$41, 3, FALSE), "Merchant not found")</f>
        <v>entertainment</v>
      </c>
      <c r="G220" s="1">
        <v>46032.051388888889</v>
      </c>
      <c r="H220" s="4">
        <f t="shared" si="3"/>
        <v>46032</v>
      </c>
      <c r="I220">
        <v>49</v>
      </c>
      <c r="J220" s="2" t="s">
        <v>12</v>
      </c>
      <c r="K220" s="2" t="s">
        <v>10</v>
      </c>
      <c r="L220">
        <v>7</v>
      </c>
      <c r="M220">
        <f>IF(COUNTIFS($D$2:$D220, $D220, $H$2:$H220, $H220)=1, 1, 0)</f>
        <v>1</v>
      </c>
      <c r="N220">
        <f>_xlfn.IFNA(HLOOKUP($J220, fee_reference!$B$1:$E$2, 2, FALSE), 0)</f>
        <v>0</v>
      </c>
    </row>
    <row r="221" spans="1:14" x14ac:dyDescent="0.3">
      <c r="A221" s="2" t="s">
        <v>234</v>
      </c>
      <c r="B221">
        <v>109</v>
      </c>
      <c r="C221">
        <v>9</v>
      </c>
      <c r="D221" t="str">
        <f>IFERROR(VLOOKUP($C221,merchants!$A$2:$D$41,2,FALSE),"Merchant not found")</f>
        <v>Merchant_009</v>
      </c>
      <c r="E221" t="str">
        <f>IFERROR(VLOOKUP($C221, merchants!$A$2:$D$41, 4, FALSE), "Merchant not found")</f>
        <v>North</v>
      </c>
      <c r="F221" t="str">
        <f>IFERROR(VLOOKUP($C221, merchants!$A$2:$D$41, 3, FALSE), "Merchant not found")</f>
        <v>ecommerce</v>
      </c>
      <c r="G221" s="1">
        <v>46023.263194444444</v>
      </c>
      <c r="H221" s="4">
        <f t="shared" si="3"/>
        <v>46023</v>
      </c>
      <c r="I221">
        <v>499</v>
      </c>
      <c r="J221" s="2" t="s">
        <v>9</v>
      </c>
      <c r="K221" s="2" t="s">
        <v>10</v>
      </c>
      <c r="L221">
        <v>97</v>
      </c>
      <c r="M221">
        <f>IF(COUNTIFS($D$2:$D221, $D221, $H$2:$H221, $H221)=1, 1, 0)</f>
        <v>1</v>
      </c>
      <c r="N221">
        <f>_xlfn.IFNA(HLOOKUP($J221, fee_reference!$B$1:$E$2, 2, FALSE), 0)</f>
        <v>1.4999999999999999E-2</v>
      </c>
    </row>
    <row r="222" spans="1:14" x14ac:dyDescent="0.3">
      <c r="A222" s="2" t="s">
        <v>235</v>
      </c>
      <c r="B222">
        <v>62</v>
      </c>
      <c r="C222">
        <v>1</v>
      </c>
      <c r="D222" t="str">
        <f>IFERROR(VLOOKUP($C222,merchants!$A$2:$D$41,2,FALSE),"Merchant not found")</f>
        <v>Merchant_001</v>
      </c>
      <c r="E222" t="str">
        <f>IFERROR(VLOOKUP($C222, merchants!$A$2:$D$41, 4, FALSE), "Merchant not found")</f>
        <v>South</v>
      </c>
      <c r="F222" t="str">
        <f>IFERROR(VLOOKUP($C222, merchants!$A$2:$D$41, 3, FALSE), "Merchant not found")</f>
        <v>ecommerce</v>
      </c>
      <c r="G222" s="1">
        <v>46031.388888888891</v>
      </c>
      <c r="H222" s="4">
        <f t="shared" si="3"/>
        <v>46031</v>
      </c>
      <c r="I222">
        <v>4999</v>
      </c>
      <c r="J222" s="2" t="s">
        <v>9</v>
      </c>
      <c r="K222" s="2" t="s">
        <v>10</v>
      </c>
      <c r="L222">
        <v>63</v>
      </c>
      <c r="M222">
        <f>IF(COUNTIFS($D$2:$D222, $D222, $H$2:$H222, $H222)=1, 1, 0)</f>
        <v>0</v>
      </c>
      <c r="N222">
        <f>_xlfn.IFNA(HLOOKUP($J222, fee_reference!$B$1:$E$2, 2, FALSE), 0)</f>
        <v>1.4999999999999999E-2</v>
      </c>
    </row>
    <row r="223" spans="1:14" x14ac:dyDescent="0.3">
      <c r="A223" s="2" t="s">
        <v>236</v>
      </c>
      <c r="B223">
        <v>67</v>
      </c>
      <c r="C223">
        <v>25</v>
      </c>
      <c r="D223" t="str">
        <f>IFERROR(VLOOKUP($C223,merchants!$A$2:$D$41,2,FALSE),"Merchant not found")</f>
        <v>Merchant_025</v>
      </c>
      <c r="E223" t="str">
        <f>IFERROR(VLOOKUP($C223, merchants!$A$2:$D$41, 4, FALSE), "Merchant not found")</f>
        <v>South</v>
      </c>
      <c r="F223" t="str">
        <f>IFERROR(VLOOKUP($C223, merchants!$A$2:$D$41, 3, FALSE), "Merchant not found")</f>
        <v>travel</v>
      </c>
      <c r="G223" s="1">
        <v>46046.549305555556</v>
      </c>
      <c r="H223" s="4">
        <f t="shared" si="3"/>
        <v>46046</v>
      </c>
      <c r="I223">
        <v>49</v>
      </c>
      <c r="J223" s="2" t="s">
        <v>12</v>
      </c>
      <c r="K223" s="2" t="s">
        <v>10</v>
      </c>
      <c r="L223">
        <v>68</v>
      </c>
      <c r="M223">
        <f>IF(COUNTIFS($D$2:$D223, $D223, $H$2:$H223, $H223)=1, 1, 0)</f>
        <v>0</v>
      </c>
      <c r="N223">
        <f>_xlfn.IFNA(HLOOKUP($J223, fee_reference!$B$1:$E$2, 2, FALSE), 0)</f>
        <v>0</v>
      </c>
    </row>
    <row r="224" spans="1:14" x14ac:dyDescent="0.3">
      <c r="A224" s="2" t="s">
        <v>237</v>
      </c>
      <c r="B224">
        <v>287</v>
      </c>
      <c r="C224">
        <v>23</v>
      </c>
      <c r="D224" t="str">
        <f>IFERROR(VLOOKUP($C224,merchants!$A$2:$D$41,2,FALSE),"Merchant not found")</f>
        <v>Merchant_023</v>
      </c>
      <c r="E224" t="str">
        <f>IFERROR(VLOOKUP($C224, merchants!$A$2:$D$41, 4, FALSE), "Merchant not found")</f>
        <v>North</v>
      </c>
      <c r="F224" t="str">
        <f>IFERROR(VLOOKUP($C224, merchants!$A$2:$D$41, 3, FALSE), "Merchant not found")</f>
        <v>travel</v>
      </c>
      <c r="G224" s="1">
        <v>46045.313888888886</v>
      </c>
      <c r="H224" s="4">
        <f t="shared" si="3"/>
        <v>46045</v>
      </c>
      <c r="I224">
        <v>49</v>
      </c>
      <c r="J224" s="2" t="s">
        <v>12</v>
      </c>
      <c r="K224" s="2" t="s">
        <v>10</v>
      </c>
      <c r="L224">
        <v>9</v>
      </c>
      <c r="M224">
        <f>IF(COUNTIFS($D$2:$D224, $D224, $H$2:$H224, $H224)=1, 1, 0)</f>
        <v>0</v>
      </c>
      <c r="N224">
        <f>_xlfn.IFNA(HLOOKUP($J224, fee_reference!$B$1:$E$2, 2, FALSE), 0)</f>
        <v>0</v>
      </c>
    </row>
    <row r="225" spans="1:14" x14ac:dyDescent="0.3">
      <c r="A225" s="2" t="s">
        <v>238</v>
      </c>
      <c r="B225">
        <v>224</v>
      </c>
      <c r="C225">
        <v>2</v>
      </c>
      <c r="D225" t="str">
        <f>IFERROR(VLOOKUP($C225,merchants!$A$2:$D$41,2,FALSE),"Merchant not found")</f>
        <v>Merchant_002</v>
      </c>
      <c r="E225" t="str">
        <f>IFERROR(VLOOKUP($C225, merchants!$A$2:$D$41, 4, FALSE), "Merchant not found")</f>
        <v>West</v>
      </c>
      <c r="F225" t="str">
        <f>IFERROR(VLOOKUP($C225, merchants!$A$2:$D$41, 3, FALSE), "Merchant not found")</f>
        <v>grocery</v>
      </c>
      <c r="G225" s="1">
        <v>46035.959722222222</v>
      </c>
      <c r="H225" s="4">
        <f t="shared" si="3"/>
        <v>46035</v>
      </c>
      <c r="I225">
        <v>49</v>
      </c>
      <c r="J225" s="2" t="s">
        <v>24</v>
      </c>
      <c r="K225" s="2" t="s">
        <v>10</v>
      </c>
      <c r="L225">
        <v>58</v>
      </c>
      <c r="M225">
        <f>IF(COUNTIFS($D$2:$D225, $D225, $H$2:$H225, $H225)=1, 1, 0)</f>
        <v>1</v>
      </c>
      <c r="N225">
        <f>_xlfn.IFNA(HLOOKUP($J225, fee_reference!$B$1:$E$2, 2, FALSE), 0)</f>
        <v>2.5000000000000001E-2</v>
      </c>
    </row>
    <row r="226" spans="1:14" x14ac:dyDescent="0.3">
      <c r="A226" s="2" t="s">
        <v>239</v>
      </c>
      <c r="B226">
        <v>161</v>
      </c>
      <c r="C226">
        <v>37</v>
      </c>
      <c r="D226" t="str">
        <f>IFERROR(VLOOKUP($C226,merchants!$A$2:$D$41,2,FALSE),"Merchant not found")</f>
        <v>Merchant_037</v>
      </c>
      <c r="E226" t="str">
        <f>IFERROR(VLOOKUP($C226, merchants!$A$2:$D$41, 4, FALSE), "Merchant not found")</f>
        <v>South</v>
      </c>
      <c r="F226" t="str">
        <f>IFERROR(VLOOKUP($C226, merchants!$A$2:$D$41, 3, FALSE), "Merchant not found")</f>
        <v>entertainment</v>
      </c>
      <c r="G226" s="1">
        <v>46052.121527777781</v>
      </c>
      <c r="H226" s="4">
        <f t="shared" si="3"/>
        <v>46052</v>
      </c>
      <c r="I226">
        <v>299</v>
      </c>
      <c r="J226" s="2" t="s">
        <v>12</v>
      </c>
      <c r="K226" s="2" t="s">
        <v>10</v>
      </c>
      <c r="L226">
        <v>54</v>
      </c>
      <c r="M226">
        <f>IF(COUNTIFS($D$2:$D226, $D226, $H$2:$H226, $H226)=1, 1, 0)</f>
        <v>1</v>
      </c>
      <c r="N226">
        <f>_xlfn.IFNA(HLOOKUP($J226, fee_reference!$B$1:$E$2, 2, FALSE), 0)</f>
        <v>0</v>
      </c>
    </row>
    <row r="227" spans="1:14" x14ac:dyDescent="0.3">
      <c r="A227" s="2" t="s">
        <v>240</v>
      </c>
      <c r="B227">
        <v>328</v>
      </c>
      <c r="C227">
        <v>27</v>
      </c>
      <c r="D227" t="str">
        <f>IFERROR(VLOOKUP($C227,merchants!$A$2:$D$41,2,FALSE),"Merchant not found")</f>
        <v>Merchant_027</v>
      </c>
      <c r="E227" t="str">
        <f>IFERROR(VLOOKUP($C227, merchants!$A$2:$D$41, 4, FALSE), "Merchant not found")</f>
        <v>North</v>
      </c>
      <c r="F227" t="str">
        <f>IFERROR(VLOOKUP($C227, merchants!$A$2:$D$41, 3, FALSE), "Merchant not found")</f>
        <v>ecommerce</v>
      </c>
      <c r="G227" s="1">
        <v>46041.53125</v>
      </c>
      <c r="H227" s="4">
        <f t="shared" si="3"/>
        <v>46041</v>
      </c>
      <c r="I227">
        <v>49</v>
      </c>
      <c r="J227" s="2" t="s">
        <v>12</v>
      </c>
      <c r="K227" s="2" t="s">
        <v>38</v>
      </c>
      <c r="L227">
        <v>37</v>
      </c>
      <c r="M227">
        <f>IF(COUNTIFS($D$2:$D227, $D227, $H$2:$H227, $H227)=1, 1, 0)</f>
        <v>1</v>
      </c>
      <c r="N227">
        <f>_xlfn.IFNA(HLOOKUP($J227, fee_reference!$B$1:$E$2, 2, FALSE), 0)</f>
        <v>0</v>
      </c>
    </row>
    <row r="228" spans="1:14" x14ac:dyDescent="0.3">
      <c r="A228" s="2" t="s">
        <v>241</v>
      </c>
      <c r="B228">
        <v>167</v>
      </c>
      <c r="C228">
        <v>11</v>
      </c>
      <c r="D228" t="str">
        <f>IFERROR(VLOOKUP($C228,merchants!$A$2:$D$41,2,FALSE),"Merchant not found")</f>
        <v>Merchant_011</v>
      </c>
      <c r="E228" t="str">
        <f>IFERROR(VLOOKUP($C228, merchants!$A$2:$D$41, 4, FALSE), "Merchant not found")</f>
        <v>North</v>
      </c>
      <c r="F228" t="str">
        <f>IFERROR(VLOOKUP($C228, merchants!$A$2:$D$41, 3, FALSE), "Merchant not found")</f>
        <v>ecommerce</v>
      </c>
      <c r="G228" s="1">
        <v>46026.500694444447</v>
      </c>
      <c r="H228" s="4">
        <f t="shared" si="3"/>
        <v>46026</v>
      </c>
      <c r="I228">
        <v>1499</v>
      </c>
      <c r="J228" s="2" t="s">
        <v>24</v>
      </c>
      <c r="K228" s="2" t="s">
        <v>25</v>
      </c>
      <c r="L228">
        <v>79</v>
      </c>
      <c r="M228">
        <f>IF(COUNTIFS($D$2:$D228, $D228, $H$2:$H228, $H228)=1, 1, 0)</f>
        <v>1</v>
      </c>
      <c r="N228">
        <f>_xlfn.IFNA(HLOOKUP($J228, fee_reference!$B$1:$E$2, 2, FALSE), 0)</f>
        <v>2.5000000000000001E-2</v>
      </c>
    </row>
    <row r="229" spans="1:14" x14ac:dyDescent="0.3">
      <c r="A229" s="2" t="s">
        <v>242</v>
      </c>
      <c r="B229">
        <v>186</v>
      </c>
      <c r="C229">
        <v>6</v>
      </c>
      <c r="D229" t="str">
        <f>IFERROR(VLOOKUP($C229,merchants!$A$2:$D$41,2,FALSE),"Merchant not found")</f>
        <v>Merchant_006</v>
      </c>
      <c r="E229" t="str">
        <f>IFERROR(VLOOKUP($C229, merchants!$A$2:$D$41, 4, FALSE), "Merchant not found")</f>
        <v>South</v>
      </c>
      <c r="F229" t="str">
        <f>IFERROR(VLOOKUP($C229, merchants!$A$2:$D$41, 3, FALSE), "Merchant not found")</f>
        <v>food_delivery</v>
      </c>
      <c r="G229" s="1">
        <v>46037.956944444442</v>
      </c>
      <c r="H229" s="4">
        <f t="shared" si="3"/>
        <v>46037</v>
      </c>
      <c r="I229">
        <v>49</v>
      </c>
      <c r="J229" s="2" t="s">
        <v>9</v>
      </c>
      <c r="K229" s="2" t="s">
        <v>10</v>
      </c>
      <c r="L229">
        <v>55</v>
      </c>
      <c r="M229">
        <f>IF(COUNTIFS($D$2:$D229, $D229, $H$2:$H229, $H229)=1, 1, 0)</f>
        <v>1</v>
      </c>
      <c r="N229">
        <f>_xlfn.IFNA(HLOOKUP($J229, fee_reference!$B$1:$E$2, 2, FALSE), 0)</f>
        <v>1.4999999999999999E-2</v>
      </c>
    </row>
    <row r="230" spans="1:14" x14ac:dyDescent="0.3">
      <c r="A230" s="2" t="s">
        <v>243</v>
      </c>
      <c r="B230">
        <v>224</v>
      </c>
      <c r="C230">
        <v>38</v>
      </c>
      <c r="D230" t="str">
        <f>IFERROR(VLOOKUP($C230,merchants!$A$2:$D$41,2,FALSE),"Merchant not found")</f>
        <v>Merchant_038</v>
      </c>
      <c r="E230" t="str">
        <f>IFERROR(VLOOKUP($C230, merchants!$A$2:$D$41, 4, FALSE), "Merchant not found")</f>
        <v>East</v>
      </c>
      <c r="F230" t="str">
        <f>IFERROR(VLOOKUP($C230, merchants!$A$2:$D$41, 3, FALSE), "Merchant not found")</f>
        <v>grocery</v>
      </c>
      <c r="G230" s="1">
        <v>46050.135416666664</v>
      </c>
      <c r="H230" s="4">
        <f t="shared" si="3"/>
        <v>46050</v>
      </c>
      <c r="I230">
        <v>299</v>
      </c>
      <c r="J230" s="2" t="s">
        <v>9</v>
      </c>
      <c r="K230" s="2" t="s">
        <v>25</v>
      </c>
      <c r="L230">
        <v>51</v>
      </c>
      <c r="M230">
        <f>IF(COUNTIFS($D$2:$D230, $D230, $H$2:$H230, $H230)=1, 1, 0)</f>
        <v>1</v>
      </c>
      <c r="N230">
        <f>_xlfn.IFNA(HLOOKUP($J230, fee_reference!$B$1:$E$2, 2, FALSE), 0)</f>
        <v>1.4999999999999999E-2</v>
      </c>
    </row>
    <row r="231" spans="1:14" x14ac:dyDescent="0.3">
      <c r="A231" s="2" t="s">
        <v>244</v>
      </c>
      <c r="B231">
        <v>159</v>
      </c>
      <c r="C231">
        <v>22</v>
      </c>
      <c r="D231" t="str">
        <f>IFERROR(VLOOKUP($C231,merchants!$A$2:$D$41,2,FALSE),"Merchant not found")</f>
        <v>Merchant_022</v>
      </c>
      <c r="E231" t="str">
        <f>IFERROR(VLOOKUP($C231, merchants!$A$2:$D$41, 4, FALSE), "Merchant not found")</f>
        <v>South</v>
      </c>
      <c r="F231" t="str">
        <f>IFERROR(VLOOKUP($C231, merchants!$A$2:$D$41, 3, FALSE), "Merchant not found")</f>
        <v>travel</v>
      </c>
      <c r="G231" s="1">
        <v>46039.100694444445</v>
      </c>
      <c r="H231" s="4">
        <f t="shared" si="3"/>
        <v>46039</v>
      </c>
      <c r="I231">
        <v>799</v>
      </c>
      <c r="J231" s="2" t="s">
        <v>12</v>
      </c>
      <c r="K231" s="2" t="s">
        <v>10</v>
      </c>
      <c r="L231">
        <v>28</v>
      </c>
      <c r="M231">
        <f>IF(COUNTIFS($D$2:$D231, $D231, $H$2:$H231, $H231)=1, 1, 0)</f>
        <v>0</v>
      </c>
      <c r="N231">
        <f>_xlfn.IFNA(HLOOKUP($J231, fee_reference!$B$1:$E$2, 2, FALSE), 0)</f>
        <v>0</v>
      </c>
    </row>
    <row r="232" spans="1:14" x14ac:dyDescent="0.3">
      <c r="A232" s="2" t="s">
        <v>245</v>
      </c>
      <c r="B232">
        <v>262</v>
      </c>
      <c r="C232">
        <v>8</v>
      </c>
      <c r="D232" t="str">
        <f>IFERROR(VLOOKUP($C232,merchants!$A$2:$D$41,2,FALSE),"Merchant not found")</f>
        <v>Merchant_008</v>
      </c>
      <c r="E232" t="str">
        <f>IFERROR(VLOOKUP($C232, merchants!$A$2:$D$41, 4, FALSE), "Merchant not found")</f>
        <v>North</v>
      </c>
      <c r="F232" t="str">
        <f>IFERROR(VLOOKUP($C232, merchants!$A$2:$D$41, 3, FALSE), "Merchant not found")</f>
        <v>food_delivery</v>
      </c>
      <c r="G232" s="1">
        <v>46033.211111111108</v>
      </c>
      <c r="H232" s="4">
        <f t="shared" si="3"/>
        <v>46033</v>
      </c>
      <c r="I232">
        <v>149</v>
      </c>
      <c r="J232" s="2" t="s">
        <v>12</v>
      </c>
      <c r="K232" s="2" t="s">
        <v>10</v>
      </c>
      <c r="L232">
        <v>67</v>
      </c>
      <c r="M232">
        <f>IF(COUNTIFS($D$2:$D232, $D232, $H$2:$H232, $H232)=1, 1, 0)</f>
        <v>1</v>
      </c>
      <c r="N232">
        <f>_xlfn.IFNA(HLOOKUP($J232, fee_reference!$B$1:$E$2, 2, FALSE), 0)</f>
        <v>0</v>
      </c>
    </row>
    <row r="233" spans="1:14" x14ac:dyDescent="0.3">
      <c r="A233" s="2" t="s">
        <v>246</v>
      </c>
      <c r="B233">
        <v>179</v>
      </c>
      <c r="C233">
        <v>23</v>
      </c>
      <c r="D233" t="str">
        <f>IFERROR(VLOOKUP($C233,merchants!$A$2:$D$41,2,FALSE),"Merchant not found")</f>
        <v>Merchant_023</v>
      </c>
      <c r="E233" t="str">
        <f>IFERROR(VLOOKUP($C233, merchants!$A$2:$D$41, 4, FALSE), "Merchant not found")</f>
        <v>North</v>
      </c>
      <c r="F233" t="str">
        <f>IFERROR(VLOOKUP($C233, merchants!$A$2:$D$41, 3, FALSE), "Merchant not found")</f>
        <v>travel</v>
      </c>
      <c r="G233" s="1">
        <v>46039.289583333331</v>
      </c>
      <c r="H233" s="4">
        <f t="shared" si="3"/>
        <v>46039</v>
      </c>
      <c r="I233">
        <v>49</v>
      </c>
      <c r="J233" s="2" t="s">
        <v>9</v>
      </c>
      <c r="K233" s="2" t="s">
        <v>10</v>
      </c>
      <c r="L233">
        <v>93</v>
      </c>
      <c r="M233">
        <f>IF(COUNTIFS($D$2:$D233, $D233, $H$2:$H233, $H233)=1, 1, 0)</f>
        <v>1</v>
      </c>
      <c r="N233">
        <f>_xlfn.IFNA(HLOOKUP($J233, fee_reference!$B$1:$E$2, 2, FALSE), 0)</f>
        <v>1.4999999999999999E-2</v>
      </c>
    </row>
    <row r="234" spans="1:14" x14ac:dyDescent="0.3">
      <c r="A234" s="2" t="s">
        <v>247</v>
      </c>
      <c r="B234">
        <v>76</v>
      </c>
      <c r="C234">
        <v>16</v>
      </c>
      <c r="D234" t="str">
        <f>IFERROR(VLOOKUP($C234,merchants!$A$2:$D$41,2,FALSE),"Merchant not found")</f>
        <v>Merchant_016</v>
      </c>
      <c r="E234" t="str">
        <f>IFERROR(VLOOKUP($C234, merchants!$A$2:$D$41, 4, FALSE), "Merchant not found")</f>
        <v>West</v>
      </c>
      <c r="F234" t="str">
        <f>IFERROR(VLOOKUP($C234, merchants!$A$2:$D$41, 3, FALSE), "Merchant not found")</f>
        <v>bill_payment</v>
      </c>
      <c r="G234" s="1">
        <v>46049.869444444441</v>
      </c>
      <c r="H234" s="4">
        <f t="shared" si="3"/>
        <v>46049</v>
      </c>
      <c r="I234">
        <v>299</v>
      </c>
      <c r="J234" s="2" t="s">
        <v>12</v>
      </c>
      <c r="K234" s="2" t="s">
        <v>10</v>
      </c>
      <c r="L234">
        <v>13</v>
      </c>
      <c r="M234">
        <f>IF(COUNTIFS($D$2:$D234, $D234, $H$2:$H234, $H234)=1, 1, 0)</f>
        <v>0</v>
      </c>
      <c r="N234">
        <f>_xlfn.IFNA(HLOOKUP($J234, fee_reference!$B$1:$E$2, 2, FALSE), 0)</f>
        <v>0</v>
      </c>
    </row>
    <row r="235" spans="1:14" x14ac:dyDescent="0.3">
      <c r="A235" s="2" t="s">
        <v>248</v>
      </c>
      <c r="B235">
        <v>89</v>
      </c>
      <c r="C235">
        <v>39</v>
      </c>
      <c r="D235" t="str">
        <f>IFERROR(VLOOKUP($C235,merchants!$A$2:$D$41,2,FALSE),"Merchant not found")</f>
        <v>Merchant_039</v>
      </c>
      <c r="E235" t="str">
        <f>IFERROR(VLOOKUP($C235, merchants!$A$2:$D$41, 4, FALSE), "Merchant not found")</f>
        <v>North</v>
      </c>
      <c r="F235" t="str">
        <f>IFERROR(VLOOKUP($C235, merchants!$A$2:$D$41, 3, FALSE), "Merchant not found")</f>
        <v>entertainment</v>
      </c>
      <c r="G235" s="1">
        <v>46027.341666666667</v>
      </c>
      <c r="H235" s="4">
        <f t="shared" si="3"/>
        <v>46027</v>
      </c>
      <c r="I235">
        <v>299</v>
      </c>
      <c r="J235" s="2" t="s">
        <v>12</v>
      </c>
      <c r="K235" s="2" t="s">
        <v>10</v>
      </c>
      <c r="L235">
        <v>19</v>
      </c>
      <c r="M235">
        <f>IF(COUNTIFS($D$2:$D235, $D235, $H$2:$H235, $H235)=1, 1, 0)</f>
        <v>1</v>
      </c>
      <c r="N235">
        <f>_xlfn.IFNA(HLOOKUP($J235, fee_reference!$B$1:$E$2, 2, FALSE), 0)</f>
        <v>0</v>
      </c>
    </row>
    <row r="236" spans="1:14" x14ac:dyDescent="0.3">
      <c r="A236" s="2" t="s">
        <v>249</v>
      </c>
      <c r="B236">
        <v>91</v>
      </c>
      <c r="C236">
        <v>32</v>
      </c>
      <c r="D236" t="str">
        <f>IFERROR(VLOOKUP($C236,merchants!$A$2:$D$41,2,FALSE),"Merchant not found")</f>
        <v>Merchant_032</v>
      </c>
      <c r="E236" t="str">
        <f>IFERROR(VLOOKUP($C236, merchants!$A$2:$D$41, 4, FALSE), "Merchant not found")</f>
        <v>West</v>
      </c>
      <c r="F236" t="str">
        <f>IFERROR(VLOOKUP($C236, merchants!$A$2:$D$41, 3, FALSE), "Merchant not found")</f>
        <v>food_delivery</v>
      </c>
      <c r="G236" s="1">
        <v>46047.836111111108</v>
      </c>
      <c r="H236" s="4">
        <f t="shared" si="3"/>
        <v>46047</v>
      </c>
      <c r="I236">
        <v>49</v>
      </c>
      <c r="J236" s="2" t="s">
        <v>12</v>
      </c>
      <c r="K236" s="2" t="s">
        <v>10</v>
      </c>
      <c r="L236">
        <v>59</v>
      </c>
      <c r="M236">
        <f>IF(COUNTIFS($D$2:$D236, $D236, $H$2:$H236, $H236)=1, 1, 0)</f>
        <v>1</v>
      </c>
      <c r="N236">
        <f>_xlfn.IFNA(HLOOKUP($J236, fee_reference!$B$1:$E$2, 2, FALSE), 0)</f>
        <v>0</v>
      </c>
    </row>
    <row r="237" spans="1:14" x14ac:dyDescent="0.3">
      <c r="A237" s="2" t="s">
        <v>250</v>
      </c>
      <c r="B237">
        <v>297</v>
      </c>
      <c r="C237">
        <v>29</v>
      </c>
      <c r="D237" t="str">
        <f>IFERROR(VLOOKUP($C237,merchants!$A$2:$D$41,2,FALSE),"Merchant not found")</f>
        <v>Merchant_029</v>
      </c>
      <c r="E237" t="str">
        <f>IFERROR(VLOOKUP($C237, merchants!$A$2:$D$41, 4, FALSE), "Merchant not found")</f>
        <v>North</v>
      </c>
      <c r="F237" t="str">
        <f>IFERROR(VLOOKUP($C237, merchants!$A$2:$D$41, 3, FALSE), "Merchant not found")</f>
        <v>ecommerce</v>
      </c>
      <c r="G237" s="1">
        <v>46047.783333333333</v>
      </c>
      <c r="H237" s="4">
        <f t="shared" si="3"/>
        <v>46047</v>
      </c>
      <c r="I237">
        <v>99</v>
      </c>
      <c r="J237" s="2" t="s">
        <v>24</v>
      </c>
      <c r="K237" s="2" t="s">
        <v>38</v>
      </c>
      <c r="L237">
        <v>87</v>
      </c>
      <c r="M237">
        <f>IF(COUNTIFS($D$2:$D237, $D237, $H$2:$H237, $H237)=1, 1, 0)</f>
        <v>0</v>
      </c>
      <c r="N237">
        <f>_xlfn.IFNA(HLOOKUP($J237, fee_reference!$B$1:$E$2, 2, FALSE), 0)</f>
        <v>2.5000000000000001E-2</v>
      </c>
    </row>
    <row r="238" spans="1:14" x14ac:dyDescent="0.3">
      <c r="A238" s="2" t="s">
        <v>251</v>
      </c>
      <c r="B238">
        <v>326</v>
      </c>
      <c r="C238">
        <v>40</v>
      </c>
      <c r="D238" t="str">
        <f>IFERROR(VLOOKUP($C238,merchants!$A$2:$D$41,2,FALSE),"Merchant not found")</f>
        <v>Merchant_040</v>
      </c>
      <c r="E238" t="str">
        <f>IFERROR(VLOOKUP($C238, merchants!$A$2:$D$41, 4, FALSE), "Merchant not found")</f>
        <v>South</v>
      </c>
      <c r="F238" t="str">
        <f>IFERROR(VLOOKUP($C238, merchants!$A$2:$D$41, 3, FALSE), "Merchant not found")</f>
        <v>entertainment</v>
      </c>
      <c r="G238" s="1">
        <v>46052.77847222222</v>
      </c>
      <c r="H238" s="4">
        <f t="shared" si="3"/>
        <v>46052</v>
      </c>
      <c r="I238">
        <v>499</v>
      </c>
      <c r="J238" s="2" t="s">
        <v>24</v>
      </c>
      <c r="K238" s="2" t="s">
        <v>10</v>
      </c>
      <c r="L238">
        <v>41</v>
      </c>
      <c r="M238">
        <f>IF(COUNTIFS($D$2:$D238, $D238, $H$2:$H238, $H238)=1, 1, 0)</f>
        <v>1</v>
      </c>
      <c r="N238">
        <f>_xlfn.IFNA(HLOOKUP($J238, fee_reference!$B$1:$E$2, 2, FALSE), 0)</f>
        <v>2.5000000000000001E-2</v>
      </c>
    </row>
    <row r="239" spans="1:14" x14ac:dyDescent="0.3">
      <c r="A239" s="2" t="s">
        <v>252</v>
      </c>
      <c r="B239">
        <v>78</v>
      </c>
      <c r="C239">
        <v>29</v>
      </c>
      <c r="D239" t="str">
        <f>IFERROR(VLOOKUP($C239,merchants!$A$2:$D$41,2,FALSE),"Merchant not found")</f>
        <v>Merchant_029</v>
      </c>
      <c r="E239" t="str">
        <f>IFERROR(VLOOKUP($C239, merchants!$A$2:$D$41, 4, FALSE), "Merchant not found")</f>
        <v>North</v>
      </c>
      <c r="F239" t="str">
        <f>IFERROR(VLOOKUP($C239, merchants!$A$2:$D$41, 3, FALSE), "Merchant not found")</f>
        <v>ecommerce</v>
      </c>
      <c r="G239" s="1">
        <v>46050.847222222219</v>
      </c>
      <c r="H239" s="4">
        <f t="shared" si="3"/>
        <v>46050</v>
      </c>
      <c r="I239">
        <v>149</v>
      </c>
      <c r="J239" s="2" t="s">
        <v>12</v>
      </c>
      <c r="K239" s="2" t="s">
        <v>10</v>
      </c>
      <c r="L239">
        <v>8</v>
      </c>
      <c r="M239">
        <f>IF(COUNTIFS($D$2:$D239, $D239, $H$2:$H239, $H239)=1, 1, 0)</f>
        <v>1</v>
      </c>
      <c r="N239">
        <f>_xlfn.IFNA(HLOOKUP($J239, fee_reference!$B$1:$E$2, 2, FALSE), 0)</f>
        <v>0</v>
      </c>
    </row>
    <row r="240" spans="1:14" x14ac:dyDescent="0.3">
      <c r="A240" s="2" t="s">
        <v>253</v>
      </c>
      <c r="B240">
        <v>156</v>
      </c>
      <c r="C240">
        <v>18</v>
      </c>
      <c r="D240" t="str">
        <f>IFERROR(VLOOKUP($C240,merchants!$A$2:$D$41,2,FALSE),"Merchant not found")</f>
        <v>Merchant_018</v>
      </c>
      <c r="E240" t="str">
        <f>IFERROR(VLOOKUP($C240, merchants!$A$2:$D$41, 4, FALSE), "Merchant not found")</f>
        <v>West</v>
      </c>
      <c r="F240" t="str">
        <f>IFERROR(VLOOKUP($C240, merchants!$A$2:$D$41, 3, FALSE), "Merchant not found")</f>
        <v>grocery</v>
      </c>
      <c r="G240" s="1">
        <v>46038.611111111109</v>
      </c>
      <c r="H240" s="4">
        <f t="shared" si="3"/>
        <v>46038</v>
      </c>
      <c r="I240">
        <v>2999</v>
      </c>
      <c r="J240" s="2" t="s">
        <v>24</v>
      </c>
      <c r="K240" s="2" t="s">
        <v>10</v>
      </c>
      <c r="L240">
        <v>75</v>
      </c>
      <c r="M240">
        <f>IF(COUNTIFS($D$2:$D240, $D240, $H$2:$H240, $H240)=1, 1, 0)</f>
        <v>1</v>
      </c>
      <c r="N240">
        <f>_xlfn.IFNA(HLOOKUP($J240, fee_reference!$B$1:$E$2, 2, FALSE), 0)</f>
        <v>2.5000000000000001E-2</v>
      </c>
    </row>
    <row r="241" spans="1:14" x14ac:dyDescent="0.3">
      <c r="A241" s="2" t="s">
        <v>254</v>
      </c>
      <c r="B241">
        <v>38</v>
      </c>
      <c r="C241">
        <v>20</v>
      </c>
      <c r="D241" t="str">
        <f>IFERROR(VLOOKUP($C241,merchants!$A$2:$D$41,2,FALSE),"Merchant not found")</f>
        <v>Merchant_020</v>
      </c>
      <c r="E241" t="str">
        <f>IFERROR(VLOOKUP($C241, merchants!$A$2:$D$41, 4, FALSE), "Merchant not found")</f>
        <v>East</v>
      </c>
      <c r="F241" t="str">
        <f>IFERROR(VLOOKUP($C241, merchants!$A$2:$D$41, 3, FALSE), "Merchant not found")</f>
        <v>food_delivery</v>
      </c>
      <c r="G241" s="1">
        <v>46024.480555555558</v>
      </c>
      <c r="H241" s="4">
        <f t="shared" si="3"/>
        <v>46024</v>
      </c>
      <c r="I241">
        <v>49</v>
      </c>
      <c r="J241" s="2" t="s">
        <v>9</v>
      </c>
      <c r="K241" s="2" t="s">
        <v>25</v>
      </c>
      <c r="L241">
        <v>59</v>
      </c>
      <c r="M241">
        <f>IF(COUNTIFS($D$2:$D241, $D241, $H$2:$H241, $H241)=1, 1, 0)</f>
        <v>1</v>
      </c>
      <c r="N241">
        <f>_xlfn.IFNA(HLOOKUP($J241, fee_reference!$B$1:$E$2, 2, FALSE), 0)</f>
        <v>1.4999999999999999E-2</v>
      </c>
    </row>
    <row r="242" spans="1:14" x14ac:dyDescent="0.3">
      <c r="A242" s="2" t="s">
        <v>255</v>
      </c>
      <c r="B242">
        <v>189</v>
      </c>
      <c r="C242">
        <v>19</v>
      </c>
      <c r="D242" t="str">
        <f>IFERROR(VLOOKUP($C242,merchants!$A$2:$D$41,2,FALSE),"Merchant not found")</f>
        <v>Merchant_019</v>
      </c>
      <c r="E242" t="str">
        <f>IFERROR(VLOOKUP($C242, merchants!$A$2:$D$41, 4, FALSE), "Merchant not found")</f>
        <v>North</v>
      </c>
      <c r="F242" t="str">
        <f>IFERROR(VLOOKUP($C242, merchants!$A$2:$D$41, 3, FALSE), "Merchant not found")</f>
        <v>grocery</v>
      </c>
      <c r="G242" s="1">
        <v>46037.043749999997</v>
      </c>
      <c r="H242" s="4">
        <f t="shared" si="3"/>
        <v>46037</v>
      </c>
      <c r="I242">
        <v>99</v>
      </c>
      <c r="J242" s="2" t="s">
        <v>12</v>
      </c>
      <c r="K242" s="2" t="s">
        <v>25</v>
      </c>
      <c r="L242">
        <v>9</v>
      </c>
      <c r="M242">
        <f>IF(COUNTIFS($D$2:$D242, $D242, $H$2:$H242, $H242)=1, 1, 0)</f>
        <v>0</v>
      </c>
      <c r="N242">
        <f>_xlfn.IFNA(HLOOKUP($J242, fee_reference!$B$1:$E$2, 2, FALSE), 0)</f>
        <v>0</v>
      </c>
    </row>
    <row r="243" spans="1:14" x14ac:dyDescent="0.3">
      <c r="A243" s="2" t="s">
        <v>256</v>
      </c>
      <c r="B243">
        <v>305</v>
      </c>
      <c r="C243">
        <v>33</v>
      </c>
      <c r="D243" t="str">
        <f>IFERROR(VLOOKUP($C243,merchants!$A$2:$D$41,2,FALSE),"Merchant not found")</f>
        <v>Merchant_033</v>
      </c>
      <c r="E243" t="str">
        <f>IFERROR(VLOOKUP($C243, merchants!$A$2:$D$41, 4, FALSE), "Merchant not found")</f>
        <v>East</v>
      </c>
      <c r="F243" t="str">
        <f>IFERROR(VLOOKUP($C243, merchants!$A$2:$D$41, 3, FALSE), "Merchant not found")</f>
        <v>bill_payment</v>
      </c>
      <c r="G243" s="1">
        <v>46043.11041666667</v>
      </c>
      <c r="H243" s="4">
        <f t="shared" si="3"/>
        <v>46043</v>
      </c>
      <c r="I243">
        <v>299</v>
      </c>
      <c r="J243" s="2" t="s">
        <v>24</v>
      </c>
      <c r="K243" s="2" t="s">
        <v>10</v>
      </c>
      <c r="L243">
        <v>49</v>
      </c>
      <c r="M243">
        <f>IF(COUNTIFS($D$2:$D243, $D243, $H$2:$H243, $H243)=1, 1, 0)</f>
        <v>0</v>
      </c>
      <c r="N243">
        <f>_xlfn.IFNA(HLOOKUP($J243, fee_reference!$B$1:$E$2, 2, FALSE), 0)</f>
        <v>2.5000000000000001E-2</v>
      </c>
    </row>
    <row r="244" spans="1:14" x14ac:dyDescent="0.3">
      <c r="A244" s="2" t="s">
        <v>257</v>
      </c>
      <c r="B244">
        <v>22</v>
      </c>
      <c r="C244">
        <v>29</v>
      </c>
      <c r="D244" t="str">
        <f>IFERROR(VLOOKUP($C244,merchants!$A$2:$D$41,2,FALSE),"Merchant not found")</f>
        <v>Merchant_029</v>
      </c>
      <c r="E244" t="str">
        <f>IFERROR(VLOOKUP($C244, merchants!$A$2:$D$41, 4, FALSE), "Merchant not found")</f>
        <v>North</v>
      </c>
      <c r="F244" t="str">
        <f>IFERROR(VLOOKUP($C244, merchants!$A$2:$D$41, 3, FALSE), "Merchant not found")</f>
        <v>ecommerce</v>
      </c>
      <c r="G244" s="1">
        <v>46037.774305555555</v>
      </c>
      <c r="H244" s="4">
        <f t="shared" si="3"/>
        <v>46037</v>
      </c>
      <c r="I244">
        <v>799</v>
      </c>
      <c r="J244" s="2" t="s">
        <v>12</v>
      </c>
      <c r="K244" s="2" t="s">
        <v>10</v>
      </c>
      <c r="L244">
        <v>73</v>
      </c>
      <c r="M244">
        <f>IF(COUNTIFS($D$2:$D244, $D244, $H$2:$H244, $H244)=1, 1, 0)</f>
        <v>0</v>
      </c>
      <c r="N244">
        <f>_xlfn.IFNA(HLOOKUP($J244, fee_reference!$B$1:$E$2, 2, FALSE), 0)</f>
        <v>0</v>
      </c>
    </row>
    <row r="245" spans="1:14" x14ac:dyDescent="0.3">
      <c r="A245" s="2" t="s">
        <v>258</v>
      </c>
      <c r="B245">
        <v>310</v>
      </c>
      <c r="C245">
        <v>31</v>
      </c>
      <c r="D245" t="str">
        <f>IFERROR(VLOOKUP($C245,merchants!$A$2:$D$41,2,FALSE),"Merchant not found")</f>
        <v>Merchant_031</v>
      </c>
      <c r="E245" t="str">
        <f>IFERROR(VLOOKUP($C245, merchants!$A$2:$D$41, 4, FALSE), "Merchant not found")</f>
        <v>East</v>
      </c>
      <c r="F245" t="str">
        <f>IFERROR(VLOOKUP($C245, merchants!$A$2:$D$41, 3, FALSE), "Merchant not found")</f>
        <v>bill_payment</v>
      </c>
      <c r="G245" s="1">
        <v>46043.263888888891</v>
      </c>
      <c r="H245" s="4">
        <f t="shared" si="3"/>
        <v>46043</v>
      </c>
      <c r="I245">
        <v>49</v>
      </c>
      <c r="J245" s="2" t="s">
        <v>24</v>
      </c>
      <c r="K245" s="2" t="s">
        <v>10</v>
      </c>
      <c r="L245">
        <v>64</v>
      </c>
      <c r="M245">
        <f>IF(COUNTIFS($D$2:$D245, $D245, $H$2:$H245, $H245)=1, 1, 0)</f>
        <v>1</v>
      </c>
      <c r="N245">
        <f>_xlfn.IFNA(HLOOKUP($J245, fee_reference!$B$1:$E$2, 2, FALSE), 0)</f>
        <v>2.5000000000000001E-2</v>
      </c>
    </row>
    <row r="246" spans="1:14" x14ac:dyDescent="0.3">
      <c r="A246" s="2" t="s">
        <v>259</v>
      </c>
      <c r="B246">
        <v>53</v>
      </c>
      <c r="C246">
        <v>22</v>
      </c>
      <c r="D246" t="str">
        <f>IFERROR(VLOOKUP($C246,merchants!$A$2:$D$41,2,FALSE),"Merchant not found")</f>
        <v>Merchant_022</v>
      </c>
      <c r="E246" t="str">
        <f>IFERROR(VLOOKUP($C246, merchants!$A$2:$D$41, 4, FALSE), "Merchant not found")</f>
        <v>South</v>
      </c>
      <c r="F246" t="str">
        <f>IFERROR(VLOOKUP($C246, merchants!$A$2:$D$41, 3, FALSE), "Merchant not found")</f>
        <v>travel</v>
      </c>
      <c r="G246" s="1">
        <v>46027.061111111114</v>
      </c>
      <c r="H246" s="4">
        <f t="shared" si="3"/>
        <v>46027</v>
      </c>
      <c r="I246">
        <v>299</v>
      </c>
      <c r="J246" s="2" t="s">
        <v>12</v>
      </c>
      <c r="K246" s="2" t="s">
        <v>10</v>
      </c>
      <c r="L246">
        <v>91</v>
      </c>
      <c r="M246">
        <f>IF(COUNTIFS($D$2:$D246, $D246, $H$2:$H246, $H246)=1, 1, 0)</f>
        <v>0</v>
      </c>
      <c r="N246">
        <f>_xlfn.IFNA(HLOOKUP($J246, fee_reference!$B$1:$E$2, 2, FALSE), 0)</f>
        <v>0</v>
      </c>
    </row>
    <row r="247" spans="1:14" x14ac:dyDescent="0.3">
      <c r="A247" s="2" t="s">
        <v>260</v>
      </c>
      <c r="B247">
        <v>89</v>
      </c>
      <c r="C247">
        <v>3</v>
      </c>
      <c r="D247" t="str">
        <f>IFERROR(VLOOKUP($C247,merchants!$A$2:$D$41,2,FALSE),"Merchant not found")</f>
        <v>Merchant_003</v>
      </c>
      <c r="E247" t="str">
        <f>IFERROR(VLOOKUP($C247, merchants!$A$2:$D$41, 4, FALSE), "Merchant not found")</f>
        <v>East</v>
      </c>
      <c r="F247" t="str">
        <f>IFERROR(VLOOKUP($C247, merchants!$A$2:$D$41, 3, FALSE), "Merchant not found")</f>
        <v>grocery</v>
      </c>
      <c r="G247" s="1">
        <v>46025.695138888892</v>
      </c>
      <c r="H247" s="4">
        <f t="shared" si="3"/>
        <v>46025</v>
      </c>
      <c r="I247">
        <v>149</v>
      </c>
      <c r="J247" s="2" t="s">
        <v>24</v>
      </c>
      <c r="K247" s="2" t="s">
        <v>10</v>
      </c>
      <c r="L247">
        <v>31</v>
      </c>
      <c r="M247">
        <f>IF(COUNTIFS($D$2:$D247, $D247, $H$2:$H247, $H247)=1, 1, 0)</f>
        <v>1</v>
      </c>
      <c r="N247">
        <f>_xlfn.IFNA(HLOOKUP($J247, fee_reference!$B$1:$E$2, 2, FALSE), 0)</f>
        <v>2.5000000000000001E-2</v>
      </c>
    </row>
    <row r="248" spans="1:14" x14ac:dyDescent="0.3">
      <c r="A248" s="2" t="s">
        <v>261</v>
      </c>
      <c r="B248">
        <v>269</v>
      </c>
      <c r="C248">
        <v>34</v>
      </c>
      <c r="D248" t="str">
        <f>IFERROR(VLOOKUP($C248,merchants!$A$2:$D$41,2,FALSE),"Merchant not found")</f>
        <v>Merchant_034</v>
      </c>
      <c r="E248" t="str">
        <f>IFERROR(VLOOKUP($C248, merchants!$A$2:$D$41, 4, FALSE), "Merchant not found")</f>
        <v>South</v>
      </c>
      <c r="F248" t="str">
        <f>IFERROR(VLOOKUP($C248, merchants!$A$2:$D$41, 3, FALSE), "Merchant not found")</f>
        <v>travel</v>
      </c>
      <c r="G248" s="1">
        <v>46045.602777777778</v>
      </c>
      <c r="H248" s="4">
        <f t="shared" si="3"/>
        <v>46045</v>
      </c>
      <c r="I248">
        <v>149</v>
      </c>
      <c r="J248" s="2" t="s">
        <v>12</v>
      </c>
      <c r="K248" s="2" t="s">
        <v>10</v>
      </c>
      <c r="L248">
        <v>78</v>
      </c>
      <c r="M248">
        <f>IF(COUNTIFS($D$2:$D248, $D248, $H$2:$H248, $H248)=1, 1, 0)</f>
        <v>0</v>
      </c>
      <c r="N248">
        <f>_xlfn.IFNA(HLOOKUP($J248, fee_reference!$B$1:$E$2, 2, FALSE), 0)</f>
        <v>0</v>
      </c>
    </row>
    <row r="249" spans="1:14" x14ac:dyDescent="0.3">
      <c r="A249" s="2" t="s">
        <v>262</v>
      </c>
      <c r="B249">
        <v>145</v>
      </c>
      <c r="C249">
        <v>25</v>
      </c>
      <c r="D249" t="str">
        <f>IFERROR(VLOOKUP($C249,merchants!$A$2:$D$41,2,FALSE),"Merchant not found")</f>
        <v>Merchant_025</v>
      </c>
      <c r="E249" t="str">
        <f>IFERROR(VLOOKUP($C249, merchants!$A$2:$D$41, 4, FALSE), "Merchant not found")</f>
        <v>South</v>
      </c>
      <c r="F249" t="str">
        <f>IFERROR(VLOOKUP($C249, merchants!$A$2:$D$41, 3, FALSE), "Merchant not found")</f>
        <v>travel</v>
      </c>
      <c r="G249" s="1">
        <v>46028.474305555559</v>
      </c>
      <c r="H249" s="4">
        <f t="shared" si="3"/>
        <v>46028</v>
      </c>
      <c r="I249">
        <v>799</v>
      </c>
      <c r="J249" s="2" t="s">
        <v>12</v>
      </c>
      <c r="K249" s="2" t="s">
        <v>10</v>
      </c>
      <c r="L249">
        <v>52</v>
      </c>
      <c r="M249">
        <f>IF(COUNTIFS($D$2:$D249, $D249, $H$2:$H249, $H249)=1, 1, 0)</f>
        <v>1</v>
      </c>
      <c r="N249">
        <f>_xlfn.IFNA(HLOOKUP($J249, fee_reference!$B$1:$E$2, 2, FALSE), 0)</f>
        <v>0</v>
      </c>
    </row>
    <row r="250" spans="1:14" x14ac:dyDescent="0.3">
      <c r="A250" s="2" t="s">
        <v>263</v>
      </c>
      <c r="B250">
        <v>307</v>
      </c>
      <c r="C250">
        <v>4</v>
      </c>
      <c r="D250" t="str">
        <f>IFERROR(VLOOKUP($C250,merchants!$A$2:$D$41,2,FALSE),"Merchant not found")</f>
        <v>Merchant_004</v>
      </c>
      <c r="E250" t="str">
        <f>IFERROR(VLOOKUP($C250, merchants!$A$2:$D$41, 4, FALSE), "Merchant not found")</f>
        <v>East</v>
      </c>
      <c r="F250" t="str">
        <f>IFERROR(VLOOKUP($C250, merchants!$A$2:$D$41, 3, FALSE), "Merchant not found")</f>
        <v>ecommerce</v>
      </c>
      <c r="G250" s="1">
        <v>46047.446527777778</v>
      </c>
      <c r="H250" s="4">
        <f t="shared" si="3"/>
        <v>46047</v>
      </c>
      <c r="I250">
        <v>1499</v>
      </c>
      <c r="J250" s="2" t="s">
        <v>12</v>
      </c>
      <c r="K250" s="2" t="s">
        <v>10</v>
      </c>
      <c r="L250">
        <v>80</v>
      </c>
      <c r="M250">
        <f>IF(COUNTIFS($D$2:$D250, $D250, $H$2:$H250, $H250)=1, 1, 0)</f>
        <v>0</v>
      </c>
      <c r="N250">
        <f>_xlfn.IFNA(HLOOKUP($J250, fee_reference!$B$1:$E$2, 2, FALSE), 0)</f>
        <v>0</v>
      </c>
    </row>
    <row r="251" spans="1:14" x14ac:dyDescent="0.3">
      <c r="A251" s="2" t="s">
        <v>264</v>
      </c>
      <c r="B251">
        <v>169</v>
      </c>
      <c r="C251">
        <v>7</v>
      </c>
      <c r="D251" t="str">
        <f>IFERROR(VLOOKUP($C251,merchants!$A$2:$D$41,2,FALSE),"Merchant not found")</f>
        <v>Merchant_007</v>
      </c>
      <c r="E251" t="str">
        <f>IFERROR(VLOOKUP($C251, merchants!$A$2:$D$41, 4, FALSE), "Merchant not found")</f>
        <v>East</v>
      </c>
      <c r="F251" t="str">
        <f>IFERROR(VLOOKUP($C251, merchants!$A$2:$D$41, 3, FALSE), "Merchant not found")</f>
        <v>food_delivery</v>
      </c>
      <c r="G251" s="1">
        <v>46043.419444444444</v>
      </c>
      <c r="H251" s="4">
        <f t="shared" si="3"/>
        <v>46043</v>
      </c>
      <c r="I251">
        <v>1499</v>
      </c>
      <c r="J251" s="2" t="s">
        <v>9</v>
      </c>
      <c r="K251" s="2" t="s">
        <v>10</v>
      </c>
      <c r="L251">
        <v>71</v>
      </c>
      <c r="M251">
        <f>IF(COUNTIFS($D$2:$D251, $D251, $H$2:$H251, $H251)=1, 1, 0)</f>
        <v>1</v>
      </c>
      <c r="N251">
        <f>_xlfn.IFNA(HLOOKUP($J251, fee_reference!$B$1:$E$2, 2, FALSE), 0)</f>
        <v>1.4999999999999999E-2</v>
      </c>
    </row>
    <row r="252" spans="1:14" x14ac:dyDescent="0.3">
      <c r="A252" s="2" t="s">
        <v>265</v>
      </c>
      <c r="B252">
        <v>130</v>
      </c>
      <c r="C252">
        <v>39</v>
      </c>
      <c r="D252" t="str">
        <f>IFERROR(VLOOKUP($C252,merchants!$A$2:$D$41,2,FALSE),"Merchant not found")</f>
        <v>Merchant_039</v>
      </c>
      <c r="E252" t="str">
        <f>IFERROR(VLOOKUP($C252, merchants!$A$2:$D$41, 4, FALSE), "Merchant not found")</f>
        <v>North</v>
      </c>
      <c r="F252" t="str">
        <f>IFERROR(VLOOKUP($C252, merchants!$A$2:$D$41, 3, FALSE), "Merchant not found")</f>
        <v>entertainment</v>
      </c>
      <c r="G252" s="1">
        <v>46044.512499999997</v>
      </c>
      <c r="H252" s="4">
        <f t="shared" si="3"/>
        <v>46044</v>
      </c>
      <c r="I252">
        <v>2999</v>
      </c>
      <c r="J252" s="2" t="s">
        <v>9</v>
      </c>
      <c r="K252" s="2" t="s">
        <v>10</v>
      </c>
      <c r="L252">
        <v>19</v>
      </c>
      <c r="M252">
        <f>IF(COUNTIFS($D$2:$D252, $D252, $H$2:$H252, $H252)=1, 1, 0)</f>
        <v>0</v>
      </c>
      <c r="N252">
        <f>_xlfn.IFNA(HLOOKUP($J252, fee_reference!$B$1:$E$2, 2, FALSE), 0)</f>
        <v>1.4999999999999999E-2</v>
      </c>
    </row>
    <row r="253" spans="1:14" x14ac:dyDescent="0.3">
      <c r="A253" s="2" t="s">
        <v>266</v>
      </c>
      <c r="B253">
        <v>340</v>
      </c>
      <c r="C253">
        <v>10</v>
      </c>
      <c r="D253" t="str">
        <f>IFERROR(VLOOKUP($C253,merchants!$A$2:$D$41,2,FALSE),"Merchant not found")</f>
        <v>Merchant_010</v>
      </c>
      <c r="E253" t="str">
        <f>IFERROR(VLOOKUP($C253, merchants!$A$2:$D$41, 4, FALSE), "Merchant not found")</f>
        <v>West</v>
      </c>
      <c r="F253" t="str">
        <f>IFERROR(VLOOKUP($C253, merchants!$A$2:$D$41, 3, FALSE), "Merchant not found")</f>
        <v>grocery</v>
      </c>
      <c r="G253" s="1">
        <v>46033.109027777777</v>
      </c>
      <c r="H253" s="4">
        <f t="shared" si="3"/>
        <v>46033</v>
      </c>
      <c r="I253">
        <v>49</v>
      </c>
      <c r="J253" s="2" t="s">
        <v>24</v>
      </c>
      <c r="K253" s="2" t="s">
        <v>10</v>
      </c>
      <c r="L253">
        <v>44</v>
      </c>
      <c r="M253">
        <f>IF(COUNTIFS($D$2:$D253, $D253, $H$2:$H253, $H253)=1, 1, 0)</f>
        <v>1</v>
      </c>
      <c r="N253">
        <f>_xlfn.IFNA(HLOOKUP($J253, fee_reference!$B$1:$E$2, 2, FALSE), 0)</f>
        <v>2.5000000000000001E-2</v>
      </c>
    </row>
    <row r="254" spans="1:14" x14ac:dyDescent="0.3">
      <c r="A254" s="2" t="s">
        <v>267</v>
      </c>
      <c r="B254">
        <v>340</v>
      </c>
      <c r="C254">
        <v>26</v>
      </c>
      <c r="D254" t="str">
        <f>IFERROR(VLOOKUP($C254,merchants!$A$2:$D$41,2,FALSE),"Merchant not found")</f>
        <v>Merchant_026</v>
      </c>
      <c r="E254" t="str">
        <f>IFERROR(VLOOKUP($C254, merchants!$A$2:$D$41, 4, FALSE), "Merchant not found")</f>
        <v>East</v>
      </c>
      <c r="F254" t="str">
        <f>IFERROR(VLOOKUP($C254, merchants!$A$2:$D$41, 3, FALSE), "Merchant not found")</f>
        <v>food_delivery</v>
      </c>
      <c r="G254" s="1">
        <v>46032.863888888889</v>
      </c>
      <c r="H254" s="4">
        <f t="shared" si="3"/>
        <v>46032</v>
      </c>
      <c r="I254">
        <v>299</v>
      </c>
      <c r="J254" s="2" t="s">
        <v>24</v>
      </c>
      <c r="K254" s="2" t="s">
        <v>10</v>
      </c>
      <c r="L254">
        <v>16</v>
      </c>
      <c r="M254">
        <f>IF(COUNTIFS($D$2:$D254, $D254, $H$2:$H254, $H254)=1, 1, 0)</f>
        <v>1</v>
      </c>
      <c r="N254">
        <f>_xlfn.IFNA(HLOOKUP($J254, fee_reference!$B$1:$E$2, 2, FALSE), 0)</f>
        <v>2.5000000000000001E-2</v>
      </c>
    </row>
    <row r="255" spans="1:14" x14ac:dyDescent="0.3">
      <c r="A255" s="2" t="s">
        <v>268</v>
      </c>
      <c r="B255">
        <v>159</v>
      </c>
      <c r="C255">
        <v>36</v>
      </c>
      <c r="D255" t="str">
        <f>IFERROR(VLOOKUP($C255,merchants!$A$2:$D$41,2,FALSE),"Merchant not found")</f>
        <v>Merchant_036</v>
      </c>
      <c r="E255" t="str">
        <f>IFERROR(VLOOKUP($C255, merchants!$A$2:$D$41, 4, FALSE), "Merchant not found")</f>
        <v>East</v>
      </c>
      <c r="F255" t="str">
        <f>IFERROR(VLOOKUP($C255, merchants!$A$2:$D$41, 3, FALSE), "Merchant not found")</f>
        <v>entertainment</v>
      </c>
      <c r="G255" s="1">
        <v>46042.920138888891</v>
      </c>
      <c r="H255" s="4">
        <f t="shared" si="3"/>
        <v>46042</v>
      </c>
      <c r="I255">
        <v>49</v>
      </c>
      <c r="J255" s="2" t="s">
        <v>12</v>
      </c>
      <c r="K255" s="2" t="s">
        <v>10</v>
      </c>
      <c r="L255">
        <v>48</v>
      </c>
      <c r="M255">
        <f>IF(COUNTIFS($D$2:$D255, $D255, $H$2:$H255, $H255)=1, 1, 0)</f>
        <v>1</v>
      </c>
      <c r="N255">
        <f>_xlfn.IFNA(HLOOKUP($J255, fee_reference!$B$1:$E$2, 2, FALSE), 0)</f>
        <v>0</v>
      </c>
    </row>
    <row r="256" spans="1:14" x14ac:dyDescent="0.3">
      <c r="A256" s="2" t="s">
        <v>269</v>
      </c>
      <c r="B256">
        <v>66</v>
      </c>
      <c r="C256">
        <v>34</v>
      </c>
      <c r="D256" t="str">
        <f>IFERROR(VLOOKUP($C256,merchants!$A$2:$D$41,2,FALSE),"Merchant not found")</f>
        <v>Merchant_034</v>
      </c>
      <c r="E256" t="str">
        <f>IFERROR(VLOOKUP($C256, merchants!$A$2:$D$41, 4, FALSE), "Merchant not found")</f>
        <v>South</v>
      </c>
      <c r="F256" t="str">
        <f>IFERROR(VLOOKUP($C256, merchants!$A$2:$D$41, 3, FALSE), "Merchant not found")</f>
        <v>travel</v>
      </c>
      <c r="G256" s="1">
        <v>46043.452777777777</v>
      </c>
      <c r="H256" s="4">
        <f t="shared" si="3"/>
        <v>46043</v>
      </c>
      <c r="I256">
        <v>799</v>
      </c>
      <c r="J256" s="2" t="s">
        <v>12</v>
      </c>
      <c r="K256" s="2" t="s">
        <v>10</v>
      </c>
      <c r="L256">
        <v>11</v>
      </c>
      <c r="M256">
        <f>IF(COUNTIFS($D$2:$D256, $D256, $H$2:$H256, $H256)=1, 1, 0)</f>
        <v>1</v>
      </c>
      <c r="N256">
        <f>_xlfn.IFNA(HLOOKUP($J256, fee_reference!$B$1:$E$2, 2, FALSE), 0)</f>
        <v>0</v>
      </c>
    </row>
    <row r="257" spans="1:14" x14ac:dyDescent="0.3">
      <c r="A257" s="2" t="s">
        <v>270</v>
      </c>
      <c r="B257">
        <v>261</v>
      </c>
      <c r="C257">
        <v>24</v>
      </c>
      <c r="D257" t="str">
        <f>IFERROR(VLOOKUP($C257,merchants!$A$2:$D$41,2,FALSE),"Merchant not found")</f>
        <v>Merchant_024</v>
      </c>
      <c r="E257" t="str">
        <f>IFERROR(VLOOKUP($C257, merchants!$A$2:$D$41, 4, FALSE), "Merchant not found")</f>
        <v>North</v>
      </c>
      <c r="F257" t="str">
        <f>IFERROR(VLOOKUP($C257, merchants!$A$2:$D$41, 3, FALSE), "Merchant not found")</f>
        <v>grocery</v>
      </c>
      <c r="G257" s="1">
        <v>46043.893750000003</v>
      </c>
      <c r="H257" s="4">
        <f t="shared" si="3"/>
        <v>46043</v>
      </c>
      <c r="I257">
        <v>799</v>
      </c>
      <c r="J257" s="2" t="s">
        <v>24</v>
      </c>
      <c r="K257" s="2" t="s">
        <v>10</v>
      </c>
      <c r="L257">
        <v>2</v>
      </c>
      <c r="M257">
        <f>IF(COUNTIFS($D$2:$D257, $D257, $H$2:$H257, $H257)=1, 1, 0)</f>
        <v>1</v>
      </c>
      <c r="N257">
        <f>_xlfn.IFNA(HLOOKUP($J257, fee_reference!$B$1:$E$2, 2, FALSE), 0)</f>
        <v>2.5000000000000001E-2</v>
      </c>
    </row>
    <row r="258" spans="1:14" x14ac:dyDescent="0.3">
      <c r="A258" s="2" t="s">
        <v>271</v>
      </c>
      <c r="B258">
        <v>110</v>
      </c>
      <c r="C258">
        <v>22</v>
      </c>
      <c r="D258" t="str">
        <f>IFERROR(VLOOKUP($C258,merchants!$A$2:$D$41,2,FALSE),"Merchant not found")</f>
        <v>Merchant_022</v>
      </c>
      <c r="E258" t="str">
        <f>IFERROR(VLOOKUP($C258, merchants!$A$2:$D$41, 4, FALSE), "Merchant not found")</f>
        <v>South</v>
      </c>
      <c r="F258" t="str">
        <f>IFERROR(VLOOKUP($C258, merchants!$A$2:$D$41, 3, FALSE), "Merchant not found")</f>
        <v>travel</v>
      </c>
      <c r="G258" s="1">
        <v>46034.382638888892</v>
      </c>
      <c r="H258" s="4">
        <f t="shared" ref="H258:H321" si="4">INT(G258)</f>
        <v>46034</v>
      </c>
      <c r="I258">
        <v>799</v>
      </c>
      <c r="J258" s="2" t="s">
        <v>12</v>
      </c>
      <c r="K258" s="2" t="s">
        <v>10</v>
      </c>
      <c r="L258">
        <v>98</v>
      </c>
      <c r="M258">
        <f>IF(COUNTIFS($D$2:$D258, $D258, $H$2:$H258, $H258)=1, 1, 0)</f>
        <v>1</v>
      </c>
      <c r="N258">
        <f>_xlfn.IFNA(HLOOKUP($J258, fee_reference!$B$1:$E$2, 2, FALSE), 0)</f>
        <v>0</v>
      </c>
    </row>
    <row r="259" spans="1:14" x14ac:dyDescent="0.3">
      <c r="A259" s="2" t="s">
        <v>272</v>
      </c>
      <c r="B259">
        <v>71</v>
      </c>
      <c r="C259">
        <v>10</v>
      </c>
      <c r="D259" t="str">
        <f>IFERROR(VLOOKUP($C259,merchants!$A$2:$D$41,2,FALSE),"Merchant not found")</f>
        <v>Merchant_010</v>
      </c>
      <c r="E259" t="str">
        <f>IFERROR(VLOOKUP($C259, merchants!$A$2:$D$41, 4, FALSE), "Merchant not found")</f>
        <v>West</v>
      </c>
      <c r="F259" t="str">
        <f>IFERROR(VLOOKUP($C259, merchants!$A$2:$D$41, 3, FALSE), "Merchant not found")</f>
        <v>grocery</v>
      </c>
      <c r="G259" s="1">
        <v>46038.259722222225</v>
      </c>
      <c r="H259" s="4">
        <f t="shared" si="4"/>
        <v>46038</v>
      </c>
      <c r="I259">
        <v>49</v>
      </c>
      <c r="J259" s="2" t="s">
        <v>12</v>
      </c>
      <c r="K259" s="2" t="s">
        <v>10</v>
      </c>
      <c r="L259">
        <v>9</v>
      </c>
      <c r="M259">
        <f>IF(COUNTIFS($D$2:$D259, $D259, $H$2:$H259, $H259)=1, 1, 0)</f>
        <v>1</v>
      </c>
      <c r="N259">
        <f>_xlfn.IFNA(HLOOKUP($J259, fee_reference!$B$1:$E$2, 2, FALSE), 0)</f>
        <v>0</v>
      </c>
    </row>
    <row r="260" spans="1:14" x14ac:dyDescent="0.3">
      <c r="A260" s="2" t="s">
        <v>273</v>
      </c>
      <c r="B260">
        <v>277</v>
      </c>
      <c r="C260">
        <v>34</v>
      </c>
      <c r="D260" t="str">
        <f>IFERROR(VLOOKUP($C260,merchants!$A$2:$D$41,2,FALSE),"Merchant not found")</f>
        <v>Merchant_034</v>
      </c>
      <c r="E260" t="str">
        <f>IFERROR(VLOOKUP($C260, merchants!$A$2:$D$41, 4, FALSE), "Merchant not found")</f>
        <v>South</v>
      </c>
      <c r="F260" t="str">
        <f>IFERROR(VLOOKUP($C260, merchants!$A$2:$D$41, 3, FALSE), "Merchant not found")</f>
        <v>travel</v>
      </c>
      <c r="G260" s="1">
        <v>46032.147222222222</v>
      </c>
      <c r="H260" s="4">
        <f t="shared" si="4"/>
        <v>46032</v>
      </c>
      <c r="I260">
        <v>49</v>
      </c>
      <c r="J260" s="2" t="s">
        <v>12</v>
      </c>
      <c r="K260" s="2" t="s">
        <v>10</v>
      </c>
      <c r="L260">
        <v>4</v>
      </c>
      <c r="M260">
        <f>IF(COUNTIFS($D$2:$D260, $D260, $H$2:$H260, $H260)=1, 1, 0)</f>
        <v>1</v>
      </c>
      <c r="N260">
        <f>_xlfn.IFNA(HLOOKUP($J260, fee_reference!$B$1:$E$2, 2, FALSE), 0)</f>
        <v>0</v>
      </c>
    </row>
    <row r="261" spans="1:14" x14ac:dyDescent="0.3">
      <c r="A261" s="2" t="s">
        <v>274</v>
      </c>
      <c r="B261">
        <v>317</v>
      </c>
      <c r="C261">
        <v>9</v>
      </c>
      <c r="D261" t="str">
        <f>IFERROR(VLOOKUP($C261,merchants!$A$2:$D$41,2,FALSE),"Merchant not found")</f>
        <v>Merchant_009</v>
      </c>
      <c r="E261" t="str">
        <f>IFERROR(VLOOKUP($C261, merchants!$A$2:$D$41, 4, FALSE), "Merchant not found")</f>
        <v>North</v>
      </c>
      <c r="F261" t="str">
        <f>IFERROR(VLOOKUP($C261, merchants!$A$2:$D$41, 3, FALSE), "Merchant not found")</f>
        <v>ecommerce</v>
      </c>
      <c r="G261" s="1">
        <v>46044.455555555556</v>
      </c>
      <c r="H261" s="4">
        <f t="shared" si="4"/>
        <v>46044</v>
      </c>
      <c r="I261">
        <v>499</v>
      </c>
      <c r="J261" s="2" t="s">
        <v>9</v>
      </c>
      <c r="K261" s="2" t="s">
        <v>10</v>
      </c>
      <c r="L261">
        <v>76</v>
      </c>
      <c r="M261">
        <f>IF(COUNTIFS($D$2:$D261, $D261, $H$2:$H261, $H261)=1, 1, 0)</f>
        <v>1</v>
      </c>
      <c r="N261">
        <f>_xlfn.IFNA(HLOOKUP($J261, fee_reference!$B$1:$E$2, 2, FALSE), 0)</f>
        <v>1.4999999999999999E-2</v>
      </c>
    </row>
    <row r="262" spans="1:14" x14ac:dyDescent="0.3">
      <c r="A262" s="2" t="s">
        <v>275</v>
      </c>
      <c r="B262">
        <v>93</v>
      </c>
      <c r="C262">
        <v>40</v>
      </c>
      <c r="D262" t="str">
        <f>IFERROR(VLOOKUP($C262,merchants!$A$2:$D$41,2,FALSE),"Merchant not found")</f>
        <v>Merchant_040</v>
      </c>
      <c r="E262" t="str">
        <f>IFERROR(VLOOKUP($C262, merchants!$A$2:$D$41, 4, FALSE), "Merchant not found")</f>
        <v>South</v>
      </c>
      <c r="F262" t="str">
        <f>IFERROR(VLOOKUP($C262, merchants!$A$2:$D$41, 3, FALSE), "Merchant not found")</f>
        <v>entertainment</v>
      </c>
      <c r="G262" s="1">
        <v>46035.173611111109</v>
      </c>
      <c r="H262" s="4">
        <f t="shared" si="4"/>
        <v>46035</v>
      </c>
      <c r="I262">
        <v>299</v>
      </c>
      <c r="J262" s="2" t="s">
        <v>12</v>
      </c>
      <c r="K262" s="2" t="s">
        <v>10</v>
      </c>
      <c r="L262">
        <v>21</v>
      </c>
      <c r="M262">
        <f>IF(COUNTIFS($D$2:$D262, $D262, $H$2:$H262, $H262)=1, 1, 0)</f>
        <v>1</v>
      </c>
      <c r="N262">
        <f>_xlfn.IFNA(HLOOKUP($J262, fee_reference!$B$1:$E$2, 2, FALSE), 0)</f>
        <v>0</v>
      </c>
    </row>
    <row r="263" spans="1:14" x14ac:dyDescent="0.3">
      <c r="A263" s="2" t="s">
        <v>276</v>
      </c>
      <c r="B263">
        <v>211</v>
      </c>
      <c r="C263">
        <v>24</v>
      </c>
      <c r="D263" t="str">
        <f>IFERROR(VLOOKUP($C263,merchants!$A$2:$D$41,2,FALSE),"Merchant not found")</f>
        <v>Merchant_024</v>
      </c>
      <c r="E263" t="str">
        <f>IFERROR(VLOOKUP($C263, merchants!$A$2:$D$41, 4, FALSE), "Merchant not found")</f>
        <v>North</v>
      </c>
      <c r="F263" t="str">
        <f>IFERROR(VLOOKUP($C263, merchants!$A$2:$D$41, 3, FALSE), "Merchant not found")</f>
        <v>grocery</v>
      </c>
      <c r="G263" s="1">
        <v>46046.584722222222</v>
      </c>
      <c r="H263" s="4">
        <f t="shared" si="4"/>
        <v>46046</v>
      </c>
      <c r="I263">
        <v>99</v>
      </c>
      <c r="J263" s="2" t="s">
        <v>15</v>
      </c>
      <c r="K263" s="2" t="s">
        <v>10</v>
      </c>
      <c r="L263">
        <v>86</v>
      </c>
      <c r="M263">
        <f>IF(COUNTIFS($D$2:$D263, $D263, $H$2:$H263, $H263)=1, 1, 0)</f>
        <v>0</v>
      </c>
      <c r="N263">
        <f>_xlfn.IFNA(HLOOKUP($J263, fee_reference!$B$1:$E$2, 2, FALSE), 0)</f>
        <v>0.01</v>
      </c>
    </row>
    <row r="264" spans="1:14" x14ac:dyDescent="0.3">
      <c r="A264" s="2" t="s">
        <v>277</v>
      </c>
      <c r="B264">
        <v>313</v>
      </c>
      <c r="C264">
        <v>19</v>
      </c>
      <c r="D264" t="str">
        <f>IFERROR(VLOOKUP($C264,merchants!$A$2:$D$41,2,FALSE),"Merchant not found")</f>
        <v>Merchant_019</v>
      </c>
      <c r="E264" t="str">
        <f>IFERROR(VLOOKUP($C264, merchants!$A$2:$D$41, 4, FALSE), "Merchant not found")</f>
        <v>North</v>
      </c>
      <c r="F264" t="str">
        <f>IFERROR(VLOOKUP($C264, merchants!$A$2:$D$41, 3, FALSE), "Merchant not found")</f>
        <v>grocery</v>
      </c>
      <c r="G264" s="1">
        <v>46046.311111111114</v>
      </c>
      <c r="H264" s="4">
        <f t="shared" si="4"/>
        <v>46046</v>
      </c>
      <c r="I264">
        <v>149</v>
      </c>
      <c r="J264" s="2" t="s">
        <v>12</v>
      </c>
      <c r="K264" s="2" t="s">
        <v>10</v>
      </c>
      <c r="L264">
        <v>96</v>
      </c>
      <c r="M264">
        <f>IF(COUNTIFS($D$2:$D264, $D264, $H$2:$H264, $H264)=1, 1, 0)</f>
        <v>1</v>
      </c>
      <c r="N264">
        <f>_xlfn.IFNA(HLOOKUP($J264, fee_reference!$B$1:$E$2, 2, FALSE), 0)</f>
        <v>0</v>
      </c>
    </row>
    <row r="265" spans="1:14" x14ac:dyDescent="0.3">
      <c r="A265" s="2" t="s">
        <v>278</v>
      </c>
      <c r="B265">
        <v>274</v>
      </c>
      <c r="C265">
        <v>16</v>
      </c>
      <c r="D265" t="str">
        <f>IFERROR(VLOOKUP($C265,merchants!$A$2:$D$41,2,FALSE),"Merchant not found")</f>
        <v>Merchant_016</v>
      </c>
      <c r="E265" t="str">
        <f>IFERROR(VLOOKUP($C265, merchants!$A$2:$D$41, 4, FALSE), "Merchant not found")</f>
        <v>West</v>
      </c>
      <c r="F265" t="str">
        <f>IFERROR(VLOOKUP($C265, merchants!$A$2:$D$41, 3, FALSE), "Merchant not found")</f>
        <v>bill_payment</v>
      </c>
      <c r="G265" s="1">
        <v>46046.593055555553</v>
      </c>
      <c r="H265" s="4">
        <f t="shared" si="4"/>
        <v>46046</v>
      </c>
      <c r="I265">
        <v>49</v>
      </c>
      <c r="J265" s="2" t="s">
        <v>9</v>
      </c>
      <c r="K265" s="2" t="s">
        <v>25</v>
      </c>
      <c r="L265">
        <v>39</v>
      </c>
      <c r="M265">
        <f>IF(COUNTIFS($D$2:$D265, $D265, $H$2:$H265, $H265)=1, 1, 0)</f>
        <v>1</v>
      </c>
      <c r="N265">
        <f>_xlfn.IFNA(HLOOKUP($J265, fee_reference!$B$1:$E$2, 2, FALSE), 0)</f>
        <v>1.4999999999999999E-2</v>
      </c>
    </row>
    <row r="266" spans="1:14" x14ac:dyDescent="0.3">
      <c r="A266" s="2" t="s">
        <v>279</v>
      </c>
      <c r="B266">
        <v>100</v>
      </c>
      <c r="C266">
        <v>24</v>
      </c>
      <c r="D266" t="str">
        <f>IFERROR(VLOOKUP($C266,merchants!$A$2:$D$41,2,FALSE),"Merchant not found")</f>
        <v>Merchant_024</v>
      </c>
      <c r="E266" t="str">
        <f>IFERROR(VLOOKUP($C266, merchants!$A$2:$D$41, 4, FALSE), "Merchant not found")</f>
        <v>North</v>
      </c>
      <c r="F266" t="str">
        <f>IFERROR(VLOOKUP($C266, merchants!$A$2:$D$41, 3, FALSE), "Merchant not found")</f>
        <v>grocery</v>
      </c>
      <c r="G266" s="1">
        <v>46048.664583333331</v>
      </c>
      <c r="H266" s="4">
        <f t="shared" si="4"/>
        <v>46048</v>
      </c>
      <c r="I266">
        <v>299</v>
      </c>
      <c r="J266" s="2" t="s">
        <v>12</v>
      </c>
      <c r="K266" s="2" t="s">
        <v>10</v>
      </c>
      <c r="L266">
        <v>86</v>
      </c>
      <c r="M266">
        <f>IF(COUNTIFS($D$2:$D266, $D266, $H$2:$H266, $H266)=1, 1, 0)</f>
        <v>0</v>
      </c>
      <c r="N266">
        <f>_xlfn.IFNA(HLOOKUP($J266, fee_reference!$B$1:$E$2, 2, FALSE), 0)</f>
        <v>0</v>
      </c>
    </row>
    <row r="267" spans="1:14" x14ac:dyDescent="0.3">
      <c r="A267" s="2" t="s">
        <v>280</v>
      </c>
      <c r="B267">
        <v>145</v>
      </c>
      <c r="C267">
        <v>25</v>
      </c>
      <c r="D267" t="str">
        <f>IFERROR(VLOOKUP($C267,merchants!$A$2:$D$41,2,FALSE),"Merchant not found")</f>
        <v>Merchant_025</v>
      </c>
      <c r="E267" t="str">
        <f>IFERROR(VLOOKUP($C267, merchants!$A$2:$D$41, 4, FALSE), "Merchant not found")</f>
        <v>South</v>
      </c>
      <c r="F267" t="str">
        <f>IFERROR(VLOOKUP($C267, merchants!$A$2:$D$41, 3, FALSE), "Merchant not found")</f>
        <v>travel</v>
      </c>
      <c r="G267" s="1">
        <v>46041.603472222225</v>
      </c>
      <c r="H267" s="4">
        <f t="shared" si="4"/>
        <v>46041</v>
      </c>
      <c r="I267">
        <v>2999</v>
      </c>
      <c r="J267" s="2" t="s">
        <v>9</v>
      </c>
      <c r="K267" s="2" t="s">
        <v>10</v>
      </c>
      <c r="L267">
        <v>64</v>
      </c>
      <c r="M267">
        <f>IF(COUNTIFS($D$2:$D267, $D267, $H$2:$H267, $H267)=1, 1, 0)</f>
        <v>0</v>
      </c>
      <c r="N267">
        <f>_xlfn.IFNA(HLOOKUP($J267, fee_reference!$B$1:$E$2, 2, FALSE), 0)</f>
        <v>1.4999999999999999E-2</v>
      </c>
    </row>
    <row r="268" spans="1:14" x14ac:dyDescent="0.3">
      <c r="A268" s="2" t="s">
        <v>281</v>
      </c>
      <c r="B268">
        <v>103</v>
      </c>
      <c r="C268">
        <v>39</v>
      </c>
      <c r="D268" t="str">
        <f>IFERROR(VLOOKUP($C268,merchants!$A$2:$D$41,2,FALSE),"Merchant not found")</f>
        <v>Merchant_039</v>
      </c>
      <c r="E268" t="str">
        <f>IFERROR(VLOOKUP($C268, merchants!$A$2:$D$41, 4, FALSE), "Merchant not found")</f>
        <v>North</v>
      </c>
      <c r="F268" t="str">
        <f>IFERROR(VLOOKUP($C268, merchants!$A$2:$D$41, 3, FALSE), "Merchant not found")</f>
        <v>entertainment</v>
      </c>
      <c r="G268" s="1">
        <v>46039.548611111109</v>
      </c>
      <c r="H268" s="4">
        <f t="shared" si="4"/>
        <v>46039</v>
      </c>
      <c r="I268">
        <v>2999</v>
      </c>
      <c r="J268" s="2" t="s">
        <v>9</v>
      </c>
      <c r="K268" s="2" t="s">
        <v>10</v>
      </c>
      <c r="L268">
        <v>17</v>
      </c>
      <c r="M268">
        <f>IF(COUNTIFS($D$2:$D268, $D268, $H$2:$H268, $H268)=1, 1, 0)</f>
        <v>1</v>
      </c>
      <c r="N268">
        <f>_xlfn.IFNA(HLOOKUP($J268, fee_reference!$B$1:$E$2, 2, FALSE), 0)</f>
        <v>1.4999999999999999E-2</v>
      </c>
    </row>
    <row r="269" spans="1:14" x14ac:dyDescent="0.3">
      <c r="A269" s="2" t="s">
        <v>282</v>
      </c>
      <c r="B269">
        <v>329</v>
      </c>
      <c r="C269">
        <v>31</v>
      </c>
      <c r="D269" t="str">
        <f>IFERROR(VLOOKUP($C269,merchants!$A$2:$D$41,2,FALSE),"Merchant not found")</f>
        <v>Merchant_031</v>
      </c>
      <c r="E269" t="str">
        <f>IFERROR(VLOOKUP($C269, merchants!$A$2:$D$41, 4, FALSE), "Merchant not found")</f>
        <v>East</v>
      </c>
      <c r="F269" t="str">
        <f>IFERROR(VLOOKUP($C269, merchants!$A$2:$D$41, 3, FALSE), "Merchant not found")</f>
        <v>bill_payment</v>
      </c>
      <c r="G269" s="1">
        <v>46050.335416666669</v>
      </c>
      <c r="H269" s="4">
        <f t="shared" si="4"/>
        <v>46050</v>
      </c>
      <c r="I269">
        <v>299</v>
      </c>
      <c r="J269" s="2" t="s">
        <v>9</v>
      </c>
      <c r="K269" s="2" t="s">
        <v>10</v>
      </c>
      <c r="L269">
        <v>47</v>
      </c>
      <c r="M269">
        <f>IF(COUNTIFS($D$2:$D269, $D269, $H$2:$H269, $H269)=1, 1, 0)</f>
        <v>1</v>
      </c>
      <c r="N269">
        <f>_xlfn.IFNA(HLOOKUP($J269, fee_reference!$B$1:$E$2, 2, FALSE), 0)</f>
        <v>1.4999999999999999E-2</v>
      </c>
    </row>
    <row r="270" spans="1:14" x14ac:dyDescent="0.3">
      <c r="A270" s="2" t="s">
        <v>283</v>
      </c>
      <c r="B270">
        <v>265</v>
      </c>
      <c r="C270">
        <v>8</v>
      </c>
      <c r="D270" t="str">
        <f>IFERROR(VLOOKUP($C270,merchants!$A$2:$D$41,2,FALSE),"Merchant not found")</f>
        <v>Merchant_008</v>
      </c>
      <c r="E270" t="str">
        <f>IFERROR(VLOOKUP($C270, merchants!$A$2:$D$41, 4, FALSE), "Merchant not found")</f>
        <v>North</v>
      </c>
      <c r="F270" t="str">
        <f>IFERROR(VLOOKUP($C270, merchants!$A$2:$D$41, 3, FALSE), "Merchant not found")</f>
        <v>food_delivery</v>
      </c>
      <c r="G270" s="1">
        <v>46040.15625</v>
      </c>
      <c r="H270" s="4">
        <f t="shared" si="4"/>
        <v>46040</v>
      </c>
      <c r="I270">
        <v>499</v>
      </c>
      <c r="J270" s="2" t="s">
        <v>15</v>
      </c>
      <c r="K270" s="2" t="s">
        <v>10</v>
      </c>
      <c r="L270">
        <v>36</v>
      </c>
      <c r="M270">
        <f>IF(COUNTIFS($D$2:$D270, $D270, $H$2:$H270, $H270)=1, 1, 0)</f>
        <v>1</v>
      </c>
      <c r="N270">
        <f>_xlfn.IFNA(HLOOKUP($J270, fee_reference!$B$1:$E$2, 2, FALSE), 0)</f>
        <v>0.01</v>
      </c>
    </row>
    <row r="271" spans="1:14" x14ac:dyDescent="0.3">
      <c r="A271" s="2" t="s">
        <v>284</v>
      </c>
      <c r="B271">
        <v>231</v>
      </c>
      <c r="C271">
        <v>33</v>
      </c>
      <c r="D271" t="str">
        <f>IFERROR(VLOOKUP($C271,merchants!$A$2:$D$41,2,FALSE),"Merchant not found")</f>
        <v>Merchant_033</v>
      </c>
      <c r="E271" t="str">
        <f>IFERROR(VLOOKUP($C271, merchants!$A$2:$D$41, 4, FALSE), "Merchant not found")</f>
        <v>East</v>
      </c>
      <c r="F271" t="str">
        <f>IFERROR(VLOOKUP($C271, merchants!$A$2:$D$41, 3, FALSE), "Merchant not found")</f>
        <v>bill_payment</v>
      </c>
      <c r="G271" s="1">
        <v>46025.220138888886</v>
      </c>
      <c r="H271" s="4">
        <f t="shared" si="4"/>
        <v>46025</v>
      </c>
      <c r="I271">
        <v>149</v>
      </c>
      <c r="J271" s="2" t="s">
        <v>12</v>
      </c>
      <c r="K271" s="2" t="s">
        <v>25</v>
      </c>
      <c r="L271">
        <v>18</v>
      </c>
      <c r="M271">
        <f>IF(COUNTIFS($D$2:$D271, $D271, $H$2:$H271, $H271)=1, 1, 0)</f>
        <v>1</v>
      </c>
      <c r="N271">
        <f>_xlfn.IFNA(HLOOKUP($J271, fee_reference!$B$1:$E$2, 2, FALSE), 0)</f>
        <v>0</v>
      </c>
    </row>
    <row r="272" spans="1:14" x14ac:dyDescent="0.3">
      <c r="A272" s="2" t="s">
        <v>285</v>
      </c>
      <c r="B272">
        <v>114</v>
      </c>
      <c r="C272">
        <v>29</v>
      </c>
      <c r="D272" t="str">
        <f>IFERROR(VLOOKUP($C272,merchants!$A$2:$D$41,2,FALSE),"Merchant not found")</f>
        <v>Merchant_029</v>
      </c>
      <c r="E272" t="str">
        <f>IFERROR(VLOOKUP($C272, merchants!$A$2:$D$41, 4, FALSE), "Merchant not found")</f>
        <v>North</v>
      </c>
      <c r="F272" t="str">
        <f>IFERROR(VLOOKUP($C272, merchants!$A$2:$D$41, 3, FALSE), "Merchant not found")</f>
        <v>ecommerce</v>
      </c>
      <c r="G272" s="1">
        <v>46049.545138888891</v>
      </c>
      <c r="H272" s="4">
        <f t="shared" si="4"/>
        <v>46049</v>
      </c>
      <c r="I272">
        <v>799</v>
      </c>
      <c r="J272" s="2" t="s">
        <v>12</v>
      </c>
      <c r="K272" s="2" t="s">
        <v>38</v>
      </c>
      <c r="L272">
        <v>44</v>
      </c>
      <c r="M272">
        <f>IF(COUNTIFS($D$2:$D272, $D272, $H$2:$H272, $H272)=1, 1, 0)</f>
        <v>0</v>
      </c>
      <c r="N272">
        <f>_xlfn.IFNA(HLOOKUP($J272, fee_reference!$B$1:$E$2, 2, FALSE), 0)</f>
        <v>0</v>
      </c>
    </row>
    <row r="273" spans="1:14" x14ac:dyDescent="0.3">
      <c r="A273" s="2" t="s">
        <v>286</v>
      </c>
      <c r="B273">
        <v>28</v>
      </c>
      <c r="C273">
        <v>26</v>
      </c>
      <c r="D273" t="str">
        <f>IFERROR(VLOOKUP($C273,merchants!$A$2:$D$41,2,FALSE),"Merchant not found")</f>
        <v>Merchant_026</v>
      </c>
      <c r="E273" t="str">
        <f>IFERROR(VLOOKUP($C273, merchants!$A$2:$D$41, 4, FALSE), "Merchant not found")</f>
        <v>East</v>
      </c>
      <c r="F273" t="str">
        <f>IFERROR(VLOOKUP($C273, merchants!$A$2:$D$41, 3, FALSE), "Merchant not found")</f>
        <v>food_delivery</v>
      </c>
      <c r="G273" s="1">
        <v>46052.018055555556</v>
      </c>
      <c r="H273" s="4">
        <f t="shared" si="4"/>
        <v>46052</v>
      </c>
      <c r="I273">
        <v>1499</v>
      </c>
      <c r="J273" s="2" t="s">
        <v>12</v>
      </c>
      <c r="K273" s="2" t="s">
        <v>25</v>
      </c>
      <c r="L273">
        <v>64</v>
      </c>
      <c r="M273">
        <f>IF(COUNTIFS($D$2:$D273, $D273, $H$2:$H273, $H273)=1, 1, 0)</f>
        <v>1</v>
      </c>
      <c r="N273">
        <f>_xlfn.IFNA(HLOOKUP($J273, fee_reference!$B$1:$E$2, 2, FALSE), 0)</f>
        <v>0</v>
      </c>
    </row>
    <row r="274" spans="1:14" x14ac:dyDescent="0.3">
      <c r="A274" s="2" t="s">
        <v>287</v>
      </c>
      <c r="B274">
        <v>42</v>
      </c>
      <c r="C274">
        <v>24</v>
      </c>
      <c r="D274" t="str">
        <f>IFERROR(VLOOKUP($C274,merchants!$A$2:$D$41,2,FALSE),"Merchant not found")</f>
        <v>Merchant_024</v>
      </c>
      <c r="E274" t="str">
        <f>IFERROR(VLOOKUP($C274, merchants!$A$2:$D$41, 4, FALSE), "Merchant not found")</f>
        <v>North</v>
      </c>
      <c r="F274" t="str">
        <f>IFERROR(VLOOKUP($C274, merchants!$A$2:$D$41, 3, FALSE), "Merchant not found")</f>
        <v>grocery</v>
      </c>
      <c r="G274" s="1">
        <v>46034.308333333334</v>
      </c>
      <c r="H274" s="4">
        <f t="shared" si="4"/>
        <v>46034</v>
      </c>
      <c r="I274">
        <v>149</v>
      </c>
      <c r="J274" s="2" t="s">
        <v>12</v>
      </c>
      <c r="K274" s="2" t="s">
        <v>10</v>
      </c>
      <c r="L274">
        <v>28</v>
      </c>
      <c r="M274">
        <f>IF(COUNTIFS($D$2:$D274, $D274, $H$2:$H274, $H274)=1, 1, 0)</f>
        <v>1</v>
      </c>
      <c r="N274">
        <f>_xlfn.IFNA(HLOOKUP($J274, fee_reference!$B$1:$E$2, 2, FALSE), 0)</f>
        <v>0</v>
      </c>
    </row>
    <row r="275" spans="1:14" x14ac:dyDescent="0.3">
      <c r="A275" s="2" t="s">
        <v>288</v>
      </c>
      <c r="B275">
        <v>51</v>
      </c>
      <c r="C275">
        <v>22</v>
      </c>
      <c r="D275" t="str">
        <f>IFERROR(VLOOKUP($C275,merchants!$A$2:$D$41,2,FALSE),"Merchant not found")</f>
        <v>Merchant_022</v>
      </c>
      <c r="E275" t="str">
        <f>IFERROR(VLOOKUP($C275, merchants!$A$2:$D$41, 4, FALSE), "Merchant not found")</f>
        <v>South</v>
      </c>
      <c r="F275" t="str">
        <f>IFERROR(VLOOKUP($C275, merchants!$A$2:$D$41, 3, FALSE), "Merchant not found")</f>
        <v>travel</v>
      </c>
      <c r="G275" s="1">
        <v>46023.457638888889</v>
      </c>
      <c r="H275" s="4">
        <f t="shared" si="4"/>
        <v>46023</v>
      </c>
      <c r="I275">
        <v>799</v>
      </c>
      <c r="J275" s="2" t="s">
        <v>12</v>
      </c>
      <c r="K275" s="2" t="s">
        <v>10</v>
      </c>
      <c r="L275">
        <v>18</v>
      </c>
      <c r="M275">
        <f>IF(COUNTIFS($D$2:$D275, $D275, $H$2:$H275, $H275)=1, 1, 0)</f>
        <v>1</v>
      </c>
      <c r="N275">
        <f>_xlfn.IFNA(HLOOKUP($J275, fee_reference!$B$1:$E$2, 2, FALSE), 0)</f>
        <v>0</v>
      </c>
    </row>
    <row r="276" spans="1:14" x14ac:dyDescent="0.3">
      <c r="A276" s="2" t="s">
        <v>289</v>
      </c>
      <c r="B276">
        <v>242</v>
      </c>
      <c r="C276">
        <v>9</v>
      </c>
      <c r="D276" t="str">
        <f>IFERROR(VLOOKUP($C276,merchants!$A$2:$D$41,2,FALSE),"Merchant not found")</f>
        <v>Merchant_009</v>
      </c>
      <c r="E276" t="str">
        <f>IFERROR(VLOOKUP($C276, merchants!$A$2:$D$41, 4, FALSE), "Merchant not found")</f>
        <v>North</v>
      </c>
      <c r="F276" t="str">
        <f>IFERROR(VLOOKUP($C276, merchants!$A$2:$D$41, 3, FALSE), "Merchant not found")</f>
        <v>ecommerce</v>
      </c>
      <c r="G276" s="1">
        <v>46027.054166666669</v>
      </c>
      <c r="H276" s="4">
        <f t="shared" si="4"/>
        <v>46027</v>
      </c>
      <c r="I276">
        <v>149</v>
      </c>
      <c r="J276" s="2" t="s">
        <v>12</v>
      </c>
      <c r="K276" s="2" t="s">
        <v>10</v>
      </c>
      <c r="L276">
        <v>97</v>
      </c>
      <c r="M276">
        <f>IF(COUNTIFS($D$2:$D276, $D276, $H$2:$H276, $H276)=1, 1, 0)</f>
        <v>1</v>
      </c>
      <c r="N276">
        <f>_xlfn.IFNA(HLOOKUP($J276, fee_reference!$B$1:$E$2, 2, FALSE), 0)</f>
        <v>0</v>
      </c>
    </row>
    <row r="277" spans="1:14" x14ac:dyDescent="0.3">
      <c r="A277" s="2" t="s">
        <v>290</v>
      </c>
      <c r="B277">
        <v>316</v>
      </c>
      <c r="C277">
        <v>1</v>
      </c>
      <c r="D277" t="str">
        <f>IFERROR(VLOOKUP($C277,merchants!$A$2:$D$41,2,FALSE),"Merchant not found")</f>
        <v>Merchant_001</v>
      </c>
      <c r="E277" t="str">
        <f>IFERROR(VLOOKUP($C277, merchants!$A$2:$D$41, 4, FALSE), "Merchant not found")</f>
        <v>South</v>
      </c>
      <c r="F277" t="str">
        <f>IFERROR(VLOOKUP($C277, merchants!$A$2:$D$41, 3, FALSE), "Merchant not found")</f>
        <v>ecommerce</v>
      </c>
      <c r="G277" s="1">
        <v>46045.644444444442</v>
      </c>
      <c r="H277" s="4">
        <f t="shared" si="4"/>
        <v>46045</v>
      </c>
      <c r="I277">
        <v>149</v>
      </c>
      <c r="J277" s="2" t="s">
        <v>12</v>
      </c>
      <c r="K277" s="2" t="s">
        <v>10</v>
      </c>
      <c r="L277">
        <v>10</v>
      </c>
      <c r="M277">
        <f>IF(COUNTIFS($D$2:$D277, $D277, $H$2:$H277, $H277)=1, 1, 0)</f>
        <v>0</v>
      </c>
      <c r="N277">
        <f>_xlfn.IFNA(HLOOKUP($J277, fee_reference!$B$1:$E$2, 2, FALSE), 0)</f>
        <v>0</v>
      </c>
    </row>
    <row r="278" spans="1:14" x14ac:dyDescent="0.3">
      <c r="A278" s="2" t="s">
        <v>291</v>
      </c>
      <c r="B278">
        <v>77</v>
      </c>
      <c r="C278">
        <v>36</v>
      </c>
      <c r="D278" t="str">
        <f>IFERROR(VLOOKUP($C278,merchants!$A$2:$D$41,2,FALSE),"Merchant not found")</f>
        <v>Merchant_036</v>
      </c>
      <c r="E278" t="str">
        <f>IFERROR(VLOOKUP($C278, merchants!$A$2:$D$41, 4, FALSE), "Merchant not found")</f>
        <v>East</v>
      </c>
      <c r="F278" t="str">
        <f>IFERROR(VLOOKUP($C278, merchants!$A$2:$D$41, 3, FALSE), "Merchant not found")</f>
        <v>entertainment</v>
      </c>
      <c r="G278" s="1">
        <v>46023.342361111114</v>
      </c>
      <c r="H278" s="4">
        <f t="shared" si="4"/>
        <v>46023</v>
      </c>
      <c r="I278">
        <v>149</v>
      </c>
      <c r="J278" s="2" t="s">
        <v>12</v>
      </c>
      <c r="K278" s="2" t="s">
        <v>10</v>
      </c>
      <c r="L278">
        <v>93</v>
      </c>
      <c r="M278">
        <f>IF(COUNTIFS($D$2:$D278, $D278, $H$2:$H278, $H278)=1, 1, 0)</f>
        <v>1</v>
      </c>
      <c r="N278">
        <f>_xlfn.IFNA(HLOOKUP($J278, fee_reference!$B$1:$E$2, 2, FALSE), 0)</f>
        <v>0</v>
      </c>
    </row>
    <row r="279" spans="1:14" x14ac:dyDescent="0.3">
      <c r="A279" s="2" t="s">
        <v>292</v>
      </c>
      <c r="B279">
        <v>57</v>
      </c>
      <c r="C279">
        <v>19</v>
      </c>
      <c r="D279" t="str">
        <f>IFERROR(VLOOKUP($C279,merchants!$A$2:$D$41,2,FALSE),"Merchant not found")</f>
        <v>Merchant_019</v>
      </c>
      <c r="E279" t="str">
        <f>IFERROR(VLOOKUP($C279, merchants!$A$2:$D$41, 4, FALSE), "Merchant not found")</f>
        <v>North</v>
      </c>
      <c r="F279" t="str">
        <f>IFERROR(VLOOKUP($C279, merchants!$A$2:$D$41, 3, FALSE), "Merchant not found")</f>
        <v>grocery</v>
      </c>
      <c r="G279" s="1">
        <v>46042.685416666667</v>
      </c>
      <c r="H279" s="4">
        <f t="shared" si="4"/>
        <v>46042</v>
      </c>
      <c r="I279">
        <v>49</v>
      </c>
      <c r="J279" s="2" t="s">
        <v>12</v>
      </c>
      <c r="K279" s="2" t="s">
        <v>10</v>
      </c>
      <c r="L279">
        <v>30</v>
      </c>
      <c r="M279">
        <f>IF(COUNTIFS($D$2:$D279, $D279, $H$2:$H279, $H279)=1, 1, 0)</f>
        <v>1</v>
      </c>
      <c r="N279">
        <f>_xlfn.IFNA(HLOOKUP($J279, fee_reference!$B$1:$E$2, 2, FALSE), 0)</f>
        <v>0</v>
      </c>
    </row>
    <row r="280" spans="1:14" x14ac:dyDescent="0.3">
      <c r="A280" s="2" t="s">
        <v>293</v>
      </c>
      <c r="B280">
        <v>123</v>
      </c>
      <c r="C280">
        <v>27</v>
      </c>
      <c r="D280" t="str">
        <f>IFERROR(VLOOKUP($C280,merchants!$A$2:$D$41,2,FALSE),"Merchant not found")</f>
        <v>Merchant_027</v>
      </c>
      <c r="E280" t="str">
        <f>IFERROR(VLOOKUP($C280, merchants!$A$2:$D$41, 4, FALSE), "Merchant not found")</f>
        <v>North</v>
      </c>
      <c r="F280" t="str">
        <f>IFERROR(VLOOKUP($C280, merchants!$A$2:$D$41, 3, FALSE), "Merchant not found")</f>
        <v>ecommerce</v>
      </c>
      <c r="G280" s="1">
        <v>46032.127083333333</v>
      </c>
      <c r="H280" s="4">
        <f t="shared" si="4"/>
        <v>46032</v>
      </c>
      <c r="I280">
        <v>149</v>
      </c>
      <c r="J280" s="2" t="s">
        <v>15</v>
      </c>
      <c r="K280" s="2" t="s">
        <v>10</v>
      </c>
      <c r="L280">
        <v>81</v>
      </c>
      <c r="M280">
        <f>IF(COUNTIFS($D$2:$D280, $D280, $H$2:$H280, $H280)=1, 1, 0)</f>
        <v>1</v>
      </c>
      <c r="N280">
        <f>_xlfn.IFNA(HLOOKUP($J280, fee_reference!$B$1:$E$2, 2, FALSE), 0)</f>
        <v>0.01</v>
      </c>
    </row>
    <row r="281" spans="1:14" x14ac:dyDescent="0.3">
      <c r="A281" s="2" t="s">
        <v>294</v>
      </c>
      <c r="B281">
        <v>33</v>
      </c>
      <c r="C281">
        <v>8</v>
      </c>
      <c r="D281" t="str">
        <f>IFERROR(VLOOKUP($C281,merchants!$A$2:$D$41,2,FALSE),"Merchant not found")</f>
        <v>Merchant_008</v>
      </c>
      <c r="E281" t="str">
        <f>IFERROR(VLOOKUP($C281, merchants!$A$2:$D$41, 4, FALSE), "Merchant not found")</f>
        <v>North</v>
      </c>
      <c r="F281" t="str">
        <f>IFERROR(VLOOKUP($C281, merchants!$A$2:$D$41, 3, FALSE), "Merchant not found")</f>
        <v>food_delivery</v>
      </c>
      <c r="G281" s="1">
        <v>46048.811805555553</v>
      </c>
      <c r="H281" s="4">
        <f t="shared" si="4"/>
        <v>46048</v>
      </c>
      <c r="I281">
        <v>299</v>
      </c>
      <c r="J281" s="2" t="s">
        <v>9</v>
      </c>
      <c r="K281" s="2" t="s">
        <v>10</v>
      </c>
      <c r="L281">
        <v>63</v>
      </c>
      <c r="M281">
        <f>IF(COUNTIFS($D$2:$D281, $D281, $H$2:$H281, $H281)=1, 1, 0)</f>
        <v>0</v>
      </c>
      <c r="N281">
        <f>_xlfn.IFNA(HLOOKUP($J281, fee_reference!$B$1:$E$2, 2, FALSE), 0)</f>
        <v>1.4999999999999999E-2</v>
      </c>
    </row>
    <row r="282" spans="1:14" x14ac:dyDescent="0.3">
      <c r="A282" s="2" t="s">
        <v>295</v>
      </c>
      <c r="B282">
        <v>324</v>
      </c>
      <c r="C282">
        <v>33</v>
      </c>
      <c r="D282" t="str">
        <f>IFERROR(VLOOKUP($C282,merchants!$A$2:$D$41,2,FALSE),"Merchant not found")</f>
        <v>Merchant_033</v>
      </c>
      <c r="E282" t="str">
        <f>IFERROR(VLOOKUP($C282, merchants!$A$2:$D$41, 4, FALSE), "Merchant not found")</f>
        <v>East</v>
      </c>
      <c r="F282" t="str">
        <f>IFERROR(VLOOKUP($C282, merchants!$A$2:$D$41, 3, FALSE), "Merchant not found")</f>
        <v>bill_payment</v>
      </c>
      <c r="G282" s="1">
        <v>46042.709027777775</v>
      </c>
      <c r="H282" s="4">
        <f t="shared" si="4"/>
        <v>46042</v>
      </c>
      <c r="I282">
        <v>499</v>
      </c>
      <c r="J282" s="2" t="s">
        <v>12</v>
      </c>
      <c r="K282" s="2" t="s">
        <v>10</v>
      </c>
      <c r="L282">
        <v>73</v>
      </c>
      <c r="M282">
        <f>IF(COUNTIFS($D$2:$D282, $D282, $H$2:$H282, $H282)=1, 1, 0)</f>
        <v>1</v>
      </c>
      <c r="N282">
        <f>_xlfn.IFNA(HLOOKUP($J282, fee_reference!$B$1:$E$2, 2, FALSE), 0)</f>
        <v>0</v>
      </c>
    </row>
    <row r="283" spans="1:14" x14ac:dyDescent="0.3">
      <c r="A283" s="2" t="s">
        <v>296</v>
      </c>
      <c r="B283">
        <v>150</v>
      </c>
      <c r="C283">
        <v>28</v>
      </c>
      <c r="D283" t="str">
        <f>IFERROR(VLOOKUP($C283,merchants!$A$2:$D$41,2,FALSE),"Merchant not found")</f>
        <v>Merchant_028</v>
      </c>
      <c r="E283" t="str">
        <f>IFERROR(VLOOKUP($C283, merchants!$A$2:$D$41, 4, FALSE), "Merchant not found")</f>
        <v>South</v>
      </c>
      <c r="F283" t="str">
        <f>IFERROR(VLOOKUP($C283, merchants!$A$2:$D$41, 3, FALSE), "Merchant not found")</f>
        <v>ecommerce</v>
      </c>
      <c r="G283" s="1">
        <v>46030.92291666667</v>
      </c>
      <c r="H283" s="4">
        <f t="shared" si="4"/>
        <v>46030</v>
      </c>
      <c r="I283">
        <v>49</v>
      </c>
      <c r="J283" s="2" t="s">
        <v>12</v>
      </c>
      <c r="K283" s="2" t="s">
        <v>25</v>
      </c>
      <c r="L283">
        <v>0</v>
      </c>
      <c r="M283">
        <f>IF(COUNTIFS($D$2:$D283, $D283, $H$2:$H283, $H283)=1, 1, 0)</f>
        <v>1</v>
      </c>
      <c r="N283">
        <f>_xlfn.IFNA(HLOOKUP($J283, fee_reference!$B$1:$E$2, 2, FALSE), 0)</f>
        <v>0</v>
      </c>
    </row>
    <row r="284" spans="1:14" x14ac:dyDescent="0.3">
      <c r="A284" s="2" t="s">
        <v>297</v>
      </c>
      <c r="B284">
        <v>293</v>
      </c>
      <c r="C284">
        <v>27</v>
      </c>
      <c r="D284" t="str">
        <f>IFERROR(VLOOKUP($C284,merchants!$A$2:$D$41,2,FALSE),"Merchant not found")</f>
        <v>Merchant_027</v>
      </c>
      <c r="E284" t="str">
        <f>IFERROR(VLOOKUP($C284, merchants!$A$2:$D$41, 4, FALSE), "Merchant not found")</f>
        <v>North</v>
      </c>
      <c r="F284" t="str">
        <f>IFERROR(VLOOKUP($C284, merchants!$A$2:$D$41, 3, FALSE), "Merchant not found")</f>
        <v>ecommerce</v>
      </c>
      <c r="G284" s="1">
        <v>46042.46875</v>
      </c>
      <c r="H284" s="4">
        <f t="shared" si="4"/>
        <v>46042</v>
      </c>
      <c r="I284">
        <v>4999</v>
      </c>
      <c r="J284" s="2" t="s">
        <v>12</v>
      </c>
      <c r="K284" s="2" t="s">
        <v>10</v>
      </c>
      <c r="L284">
        <v>23</v>
      </c>
      <c r="M284">
        <f>IF(COUNTIFS($D$2:$D284, $D284, $H$2:$H284, $H284)=1, 1, 0)</f>
        <v>1</v>
      </c>
      <c r="N284">
        <f>_xlfn.IFNA(HLOOKUP($J284, fee_reference!$B$1:$E$2, 2, FALSE), 0)</f>
        <v>0</v>
      </c>
    </row>
    <row r="285" spans="1:14" x14ac:dyDescent="0.3">
      <c r="A285" s="2" t="s">
        <v>298</v>
      </c>
      <c r="B285">
        <v>269</v>
      </c>
      <c r="C285">
        <v>24</v>
      </c>
      <c r="D285" t="str">
        <f>IFERROR(VLOOKUP($C285,merchants!$A$2:$D$41,2,FALSE),"Merchant not found")</f>
        <v>Merchant_024</v>
      </c>
      <c r="E285" t="str">
        <f>IFERROR(VLOOKUP($C285, merchants!$A$2:$D$41, 4, FALSE), "Merchant not found")</f>
        <v>North</v>
      </c>
      <c r="F285" t="str">
        <f>IFERROR(VLOOKUP($C285, merchants!$A$2:$D$41, 3, FALSE), "Merchant not found")</f>
        <v>grocery</v>
      </c>
      <c r="G285" s="1">
        <v>46044.878472222219</v>
      </c>
      <c r="H285" s="4">
        <f t="shared" si="4"/>
        <v>46044</v>
      </c>
      <c r="I285">
        <v>49</v>
      </c>
      <c r="J285" s="2" t="s">
        <v>9</v>
      </c>
      <c r="K285" s="2" t="s">
        <v>10</v>
      </c>
      <c r="L285">
        <v>8</v>
      </c>
      <c r="M285">
        <f>IF(COUNTIFS($D$2:$D285, $D285, $H$2:$H285, $H285)=1, 1, 0)</f>
        <v>1</v>
      </c>
      <c r="N285">
        <f>_xlfn.IFNA(HLOOKUP($J285, fee_reference!$B$1:$E$2, 2, FALSE), 0)</f>
        <v>1.4999999999999999E-2</v>
      </c>
    </row>
    <row r="286" spans="1:14" x14ac:dyDescent="0.3">
      <c r="A286" s="2" t="s">
        <v>299</v>
      </c>
      <c r="B286">
        <v>260</v>
      </c>
      <c r="C286">
        <v>36</v>
      </c>
      <c r="D286" t="str">
        <f>IFERROR(VLOOKUP($C286,merchants!$A$2:$D$41,2,FALSE),"Merchant not found")</f>
        <v>Merchant_036</v>
      </c>
      <c r="E286" t="str">
        <f>IFERROR(VLOOKUP($C286, merchants!$A$2:$D$41, 4, FALSE), "Merchant not found")</f>
        <v>East</v>
      </c>
      <c r="F286" t="str">
        <f>IFERROR(VLOOKUP($C286, merchants!$A$2:$D$41, 3, FALSE), "Merchant not found")</f>
        <v>entertainment</v>
      </c>
      <c r="G286" s="1">
        <v>46039.730555555558</v>
      </c>
      <c r="H286" s="4">
        <f t="shared" si="4"/>
        <v>46039</v>
      </c>
      <c r="I286">
        <v>1499</v>
      </c>
      <c r="J286" s="2" t="s">
        <v>12</v>
      </c>
      <c r="K286" s="2" t="s">
        <v>10</v>
      </c>
      <c r="L286">
        <v>2</v>
      </c>
      <c r="M286">
        <f>IF(COUNTIFS($D$2:$D286, $D286, $H$2:$H286, $H286)=1, 1, 0)</f>
        <v>1</v>
      </c>
      <c r="N286">
        <f>_xlfn.IFNA(HLOOKUP($J286, fee_reference!$B$1:$E$2, 2, FALSE), 0)</f>
        <v>0</v>
      </c>
    </row>
    <row r="287" spans="1:14" x14ac:dyDescent="0.3">
      <c r="A287" s="2" t="s">
        <v>300</v>
      </c>
      <c r="B287">
        <v>326</v>
      </c>
      <c r="C287">
        <v>25</v>
      </c>
      <c r="D287" t="str">
        <f>IFERROR(VLOOKUP($C287,merchants!$A$2:$D$41,2,FALSE),"Merchant not found")</f>
        <v>Merchant_025</v>
      </c>
      <c r="E287" t="str">
        <f>IFERROR(VLOOKUP($C287, merchants!$A$2:$D$41, 4, FALSE), "Merchant not found")</f>
        <v>South</v>
      </c>
      <c r="F287" t="str">
        <f>IFERROR(VLOOKUP($C287, merchants!$A$2:$D$41, 3, FALSE), "Merchant not found")</f>
        <v>travel</v>
      </c>
      <c r="G287" s="1">
        <v>46035.626388888886</v>
      </c>
      <c r="H287" s="4">
        <f t="shared" si="4"/>
        <v>46035</v>
      </c>
      <c r="I287">
        <v>49</v>
      </c>
      <c r="J287" s="2" t="s">
        <v>12</v>
      </c>
      <c r="K287" s="2" t="s">
        <v>10</v>
      </c>
      <c r="L287">
        <v>47</v>
      </c>
      <c r="M287">
        <f>IF(COUNTIFS($D$2:$D287, $D287, $H$2:$H287, $H287)=1, 1, 0)</f>
        <v>1</v>
      </c>
      <c r="N287">
        <f>_xlfn.IFNA(HLOOKUP($J287, fee_reference!$B$1:$E$2, 2, FALSE), 0)</f>
        <v>0</v>
      </c>
    </row>
    <row r="288" spans="1:14" x14ac:dyDescent="0.3">
      <c r="A288" s="2" t="s">
        <v>301</v>
      </c>
      <c r="B288">
        <v>183</v>
      </c>
      <c r="C288">
        <v>5</v>
      </c>
      <c r="D288" t="str">
        <f>IFERROR(VLOOKUP($C288,merchants!$A$2:$D$41,2,FALSE),"Merchant not found")</f>
        <v>Merchant_005</v>
      </c>
      <c r="E288" t="str">
        <f>IFERROR(VLOOKUP($C288, merchants!$A$2:$D$41, 4, FALSE), "Merchant not found")</f>
        <v>South</v>
      </c>
      <c r="F288" t="str">
        <f>IFERROR(VLOOKUP($C288, merchants!$A$2:$D$41, 3, FALSE), "Merchant not found")</f>
        <v>recharge</v>
      </c>
      <c r="G288" s="1">
        <v>46031.959027777775</v>
      </c>
      <c r="H288" s="4">
        <f t="shared" si="4"/>
        <v>46031</v>
      </c>
      <c r="I288">
        <v>49</v>
      </c>
      <c r="J288" s="2" t="s">
        <v>24</v>
      </c>
      <c r="K288" s="2" t="s">
        <v>10</v>
      </c>
      <c r="L288">
        <v>44</v>
      </c>
      <c r="M288">
        <f>IF(COUNTIFS($D$2:$D288, $D288, $H$2:$H288, $H288)=1, 1, 0)</f>
        <v>1</v>
      </c>
      <c r="N288">
        <f>_xlfn.IFNA(HLOOKUP($J288, fee_reference!$B$1:$E$2, 2, FALSE), 0)</f>
        <v>2.5000000000000001E-2</v>
      </c>
    </row>
    <row r="289" spans="1:14" x14ac:dyDescent="0.3">
      <c r="A289" s="2" t="s">
        <v>302</v>
      </c>
      <c r="B289">
        <v>322</v>
      </c>
      <c r="C289">
        <v>7</v>
      </c>
      <c r="D289" t="str">
        <f>IFERROR(VLOOKUP($C289,merchants!$A$2:$D$41,2,FALSE),"Merchant not found")</f>
        <v>Merchant_007</v>
      </c>
      <c r="E289" t="str">
        <f>IFERROR(VLOOKUP($C289, merchants!$A$2:$D$41, 4, FALSE), "Merchant not found")</f>
        <v>East</v>
      </c>
      <c r="F289" t="str">
        <f>IFERROR(VLOOKUP($C289, merchants!$A$2:$D$41, 3, FALSE), "Merchant not found")</f>
        <v>food_delivery</v>
      </c>
      <c r="G289" s="1">
        <v>46030.987500000003</v>
      </c>
      <c r="H289" s="4">
        <f t="shared" si="4"/>
        <v>46030</v>
      </c>
      <c r="I289">
        <v>299</v>
      </c>
      <c r="J289" s="2" t="s">
        <v>12</v>
      </c>
      <c r="K289" s="2" t="s">
        <v>10</v>
      </c>
      <c r="L289">
        <v>98</v>
      </c>
      <c r="M289">
        <f>IF(COUNTIFS($D$2:$D289, $D289, $H$2:$H289, $H289)=1, 1, 0)</f>
        <v>1</v>
      </c>
      <c r="N289">
        <f>_xlfn.IFNA(HLOOKUP($J289, fee_reference!$B$1:$E$2, 2, FALSE), 0)</f>
        <v>0</v>
      </c>
    </row>
    <row r="290" spans="1:14" x14ac:dyDescent="0.3">
      <c r="A290" s="2" t="s">
        <v>303</v>
      </c>
      <c r="B290">
        <v>171</v>
      </c>
      <c r="C290">
        <v>9</v>
      </c>
      <c r="D290" t="str">
        <f>IFERROR(VLOOKUP($C290,merchants!$A$2:$D$41,2,FALSE),"Merchant not found")</f>
        <v>Merchant_009</v>
      </c>
      <c r="E290" t="str">
        <f>IFERROR(VLOOKUP($C290, merchants!$A$2:$D$41, 4, FALSE), "Merchant not found")</f>
        <v>North</v>
      </c>
      <c r="F290" t="str">
        <f>IFERROR(VLOOKUP($C290, merchants!$A$2:$D$41, 3, FALSE), "Merchant not found")</f>
        <v>ecommerce</v>
      </c>
      <c r="G290" s="1">
        <v>46041.991666666669</v>
      </c>
      <c r="H290" s="4">
        <f t="shared" si="4"/>
        <v>46041</v>
      </c>
      <c r="I290">
        <v>299</v>
      </c>
      <c r="J290" s="2" t="s">
        <v>12</v>
      </c>
      <c r="K290" s="2" t="s">
        <v>10</v>
      </c>
      <c r="L290">
        <v>5</v>
      </c>
      <c r="M290">
        <f>IF(COUNTIFS($D$2:$D290, $D290, $H$2:$H290, $H290)=1, 1, 0)</f>
        <v>1</v>
      </c>
      <c r="N290">
        <f>_xlfn.IFNA(HLOOKUP($J290, fee_reference!$B$1:$E$2, 2, FALSE), 0)</f>
        <v>0</v>
      </c>
    </row>
    <row r="291" spans="1:14" x14ac:dyDescent="0.3">
      <c r="A291" s="2" t="s">
        <v>304</v>
      </c>
      <c r="B291">
        <v>330</v>
      </c>
      <c r="C291">
        <v>12</v>
      </c>
      <c r="D291" t="str">
        <f>IFERROR(VLOOKUP($C291,merchants!$A$2:$D$41,2,FALSE),"Merchant not found")</f>
        <v>Merchant_012</v>
      </c>
      <c r="E291" t="str">
        <f>IFERROR(VLOOKUP($C291, merchants!$A$2:$D$41, 4, FALSE), "Merchant not found")</f>
        <v>East</v>
      </c>
      <c r="F291" t="str">
        <f>IFERROR(VLOOKUP($C291, merchants!$A$2:$D$41, 3, FALSE), "Merchant not found")</f>
        <v>ecommerce</v>
      </c>
      <c r="G291" s="1">
        <v>46034.722916666666</v>
      </c>
      <c r="H291" s="4">
        <f t="shared" si="4"/>
        <v>46034</v>
      </c>
      <c r="I291">
        <v>1499</v>
      </c>
      <c r="J291" s="2" t="s">
        <v>15</v>
      </c>
      <c r="K291" s="2" t="s">
        <v>10</v>
      </c>
      <c r="L291">
        <v>99</v>
      </c>
      <c r="M291">
        <f>IF(COUNTIFS($D$2:$D291, $D291, $H$2:$H291, $H291)=1, 1, 0)</f>
        <v>1</v>
      </c>
      <c r="N291">
        <f>_xlfn.IFNA(HLOOKUP($J291, fee_reference!$B$1:$E$2, 2, FALSE), 0)</f>
        <v>0.01</v>
      </c>
    </row>
    <row r="292" spans="1:14" x14ac:dyDescent="0.3">
      <c r="A292" s="2" t="s">
        <v>305</v>
      </c>
      <c r="B292">
        <v>246</v>
      </c>
      <c r="C292">
        <v>12</v>
      </c>
      <c r="D292" t="str">
        <f>IFERROR(VLOOKUP($C292,merchants!$A$2:$D$41,2,FALSE),"Merchant not found")</f>
        <v>Merchant_012</v>
      </c>
      <c r="E292" t="str">
        <f>IFERROR(VLOOKUP($C292, merchants!$A$2:$D$41, 4, FALSE), "Merchant not found")</f>
        <v>East</v>
      </c>
      <c r="F292" t="str">
        <f>IFERROR(VLOOKUP($C292, merchants!$A$2:$D$41, 3, FALSE), "Merchant not found")</f>
        <v>ecommerce</v>
      </c>
      <c r="G292" s="1">
        <v>46044.613888888889</v>
      </c>
      <c r="H292" s="4">
        <f t="shared" si="4"/>
        <v>46044</v>
      </c>
      <c r="I292">
        <v>99</v>
      </c>
      <c r="J292" s="2" t="s">
        <v>9</v>
      </c>
      <c r="K292" s="2" t="s">
        <v>10</v>
      </c>
      <c r="L292">
        <v>17</v>
      </c>
      <c r="M292">
        <f>IF(COUNTIFS($D$2:$D292, $D292, $H$2:$H292, $H292)=1, 1, 0)</f>
        <v>1</v>
      </c>
      <c r="N292">
        <f>_xlfn.IFNA(HLOOKUP($J292, fee_reference!$B$1:$E$2, 2, FALSE), 0)</f>
        <v>1.4999999999999999E-2</v>
      </c>
    </row>
    <row r="293" spans="1:14" x14ac:dyDescent="0.3">
      <c r="A293" s="2" t="s">
        <v>306</v>
      </c>
      <c r="B293">
        <v>235</v>
      </c>
      <c r="C293">
        <v>3</v>
      </c>
      <c r="D293" t="str">
        <f>IFERROR(VLOOKUP($C293,merchants!$A$2:$D$41,2,FALSE),"Merchant not found")</f>
        <v>Merchant_003</v>
      </c>
      <c r="E293" t="str">
        <f>IFERROR(VLOOKUP($C293, merchants!$A$2:$D$41, 4, FALSE), "Merchant not found")</f>
        <v>East</v>
      </c>
      <c r="F293" t="str">
        <f>IFERROR(VLOOKUP($C293, merchants!$A$2:$D$41, 3, FALSE), "Merchant not found")</f>
        <v>grocery</v>
      </c>
      <c r="G293" s="1">
        <v>46025.950694444444</v>
      </c>
      <c r="H293" s="4">
        <f t="shared" si="4"/>
        <v>46025</v>
      </c>
      <c r="I293">
        <v>49</v>
      </c>
      <c r="J293" s="2" t="s">
        <v>12</v>
      </c>
      <c r="K293" s="2" t="s">
        <v>10</v>
      </c>
      <c r="L293">
        <v>37</v>
      </c>
      <c r="M293">
        <f>IF(COUNTIFS($D$2:$D293, $D293, $H$2:$H293, $H293)=1, 1, 0)</f>
        <v>0</v>
      </c>
      <c r="N293">
        <f>_xlfn.IFNA(HLOOKUP($J293, fee_reference!$B$1:$E$2, 2, FALSE), 0)</f>
        <v>0</v>
      </c>
    </row>
    <row r="294" spans="1:14" x14ac:dyDescent="0.3">
      <c r="A294" s="2" t="s">
        <v>307</v>
      </c>
      <c r="B294">
        <v>103</v>
      </c>
      <c r="C294">
        <v>3</v>
      </c>
      <c r="D294" t="str">
        <f>IFERROR(VLOOKUP($C294,merchants!$A$2:$D$41,2,FALSE),"Merchant not found")</f>
        <v>Merchant_003</v>
      </c>
      <c r="E294" t="str">
        <f>IFERROR(VLOOKUP($C294, merchants!$A$2:$D$41, 4, FALSE), "Merchant not found")</f>
        <v>East</v>
      </c>
      <c r="F294" t="str">
        <f>IFERROR(VLOOKUP($C294, merchants!$A$2:$D$41, 3, FALSE), "Merchant not found")</f>
        <v>grocery</v>
      </c>
      <c r="G294" s="1">
        <v>46029.076388888891</v>
      </c>
      <c r="H294" s="4">
        <f t="shared" si="4"/>
        <v>46029</v>
      </c>
      <c r="I294">
        <v>499</v>
      </c>
      <c r="J294" s="2" t="s">
        <v>12</v>
      </c>
      <c r="K294" s="2" t="s">
        <v>10</v>
      </c>
      <c r="L294">
        <v>40</v>
      </c>
      <c r="M294">
        <f>IF(COUNTIFS($D$2:$D294, $D294, $H$2:$H294, $H294)=1, 1, 0)</f>
        <v>1</v>
      </c>
      <c r="N294">
        <f>_xlfn.IFNA(HLOOKUP($J294, fee_reference!$B$1:$E$2, 2, FALSE), 0)</f>
        <v>0</v>
      </c>
    </row>
    <row r="295" spans="1:14" x14ac:dyDescent="0.3">
      <c r="A295" s="2" t="s">
        <v>308</v>
      </c>
      <c r="B295">
        <v>204</v>
      </c>
      <c r="C295">
        <v>35</v>
      </c>
      <c r="D295" t="str">
        <f>IFERROR(VLOOKUP($C295,merchants!$A$2:$D$41,2,FALSE),"Merchant not found")</f>
        <v>Merchant_035</v>
      </c>
      <c r="E295" t="str">
        <f>IFERROR(VLOOKUP($C295, merchants!$A$2:$D$41, 4, FALSE), "Merchant not found")</f>
        <v>East</v>
      </c>
      <c r="F295" t="str">
        <f>IFERROR(VLOOKUP($C295, merchants!$A$2:$D$41, 3, FALSE), "Merchant not found")</f>
        <v>recharge</v>
      </c>
      <c r="G295" s="1">
        <v>46052.397222222222</v>
      </c>
      <c r="H295" s="4">
        <f t="shared" si="4"/>
        <v>46052</v>
      </c>
      <c r="I295">
        <v>99</v>
      </c>
      <c r="J295" s="2" t="s">
        <v>9</v>
      </c>
      <c r="K295" s="2" t="s">
        <v>10</v>
      </c>
      <c r="L295">
        <v>60</v>
      </c>
      <c r="M295">
        <f>IF(COUNTIFS($D$2:$D295, $D295, $H$2:$H295, $H295)=1, 1, 0)</f>
        <v>1</v>
      </c>
      <c r="N295">
        <f>_xlfn.IFNA(HLOOKUP($J295, fee_reference!$B$1:$E$2, 2, FALSE), 0)</f>
        <v>1.4999999999999999E-2</v>
      </c>
    </row>
    <row r="296" spans="1:14" x14ac:dyDescent="0.3">
      <c r="A296" s="2" t="s">
        <v>309</v>
      </c>
      <c r="B296">
        <v>332</v>
      </c>
      <c r="C296">
        <v>13</v>
      </c>
      <c r="D296" t="str">
        <f>IFERROR(VLOOKUP($C296,merchants!$A$2:$D$41,2,FALSE),"Merchant not found")</f>
        <v>Merchant_013</v>
      </c>
      <c r="E296" t="str">
        <f>IFERROR(VLOOKUP($C296, merchants!$A$2:$D$41, 4, FALSE), "Merchant not found")</f>
        <v>East</v>
      </c>
      <c r="F296" t="str">
        <f>IFERROR(VLOOKUP($C296, merchants!$A$2:$D$41, 3, FALSE), "Merchant not found")</f>
        <v>travel</v>
      </c>
      <c r="G296" s="1">
        <v>46031.074999999997</v>
      </c>
      <c r="H296" s="4">
        <f t="shared" si="4"/>
        <v>46031</v>
      </c>
      <c r="I296">
        <v>49</v>
      </c>
      <c r="J296" s="2" t="s">
        <v>24</v>
      </c>
      <c r="K296" s="2" t="s">
        <v>10</v>
      </c>
      <c r="L296">
        <v>36</v>
      </c>
      <c r="M296">
        <f>IF(COUNTIFS($D$2:$D296, $D296, $H$2:$H296, $H296)=1, 1, 0)</f>
        <v>0</v>
      </c>
      <c r="N296">
        <f>_xlfn.IFNA(HLOOKUP($J296, fee_reference!$B$1:$E$2, 2, FALSE), 0)</f>
        <v>2.5000000000000001E-2</v>
      </c>
    </row>
    <row r="297" spans="1:14" x14ac:dyDescent="0.3">
      <c r="A297" s="2" t="s">
        <v>310</v>
      </c>
      <c r="B297">
        <v>336</v>
      </c>
      <c r="C297">
        <v>22</v>
      </c>
      <c r="D297" t="str">
        <f>IFERROR(VLOOKUP($C297,merchants!$A$2:$D$41,2,FALSE),"Merchant not found")</f>
        <v>Merchant_022</v>
      </c>
      <c r="E297" t="str">
        <f>IFERROR(VLOOKUP($C297, merchants!$A$2:$D$41, 4, FALSE), "Merchant not found")</f>
        <v>South</v>
      </c>
      <c r="F297" t="str">
        <f>IFERROR(VLOOKUP($C297, merchants!$A$2:$D$41, 3, FALSE), "Merchant not found")</f>
        <v>travel</v>
      </c>
      <c r="G297" s="1">
        <v>46034.079861111109</v>
      </c>
      <c r="H297" s="4">
        <f t="shared" si="4"/>
        <v>46034</v>
      </c>
      <c r="I297">
        <v>499</v>
      </c>
      <c r="J297" s="2" t="s">
        <v>12</v>
      </c>
      <c r="K297" s="2" t="s">
        <v>10</v>
      </c>
      <c r="L297">
        <v>34</v>
      </c>
      <c r="M297">
        <f>IF(COUNTIFS($D$2:$D297, $D297, $H$2:$H297, $H297)=1, 1, 0)</f>
        <v>0</v>
      </c>
      <c r="N297">
        <f>_xlfn.IFNA(HLOOKUP($J297, fee_reference!$B$1:$E$2, 2, FALSE), 0)</f>
        <v>0</v>
      </c>
    </row>
    <row r="298" spans="1:14" x14ac:dyDescent="0.3">
      <c r="A298" s="2" t="s">
        <v>311</v>
      </c>
      <c r="B298">
        <v>205</v>
      </c>
      <c r="C298">
        <v>29</v>
      </c>
      <c r="D298" t="str">
        <f>IFERROR(VLOOKUP($C298,merchants!$A$2:$D$41,2,FALSE),"Merchant not found")</f>
        <v>Merchant_029</v>
      </c>
      <c r="E298" t="str">
        <f>IFERROR(VLOOKUP($C298, merchants!$A$2:$D$41, 4, FALSE), "Merchant not found")</f>
        <v>North</v>
      </c>
      <c r="F298" t="str">
        <f>IFERROR(VLOOKUP($C298, merchants!$A$2:$D$41, 3, FALSE), "Merchant not found")</f>
        <v>ecommerce</v>
      </c>
      <c r="G298" s="1">
        <v>46026.477083333331</v>
      </c>
      <c r="H298" s="4">
        <f t="shared" si="4"/>
        <v>46026</v>
      </c>
      <c r="I298">
        <v>99</v>
      </c>
      <c r="J298" s="2" t="s">
        <v>9</v>
      </c>
      <c r="K298" s="2" t="s">
        <v>10</v>
      </c>
      <c r="L298">
        <v>49</v>
      </c>
      <c r="M298">
        <f>IF(COUNTIFS($D$2:$D298, $D298, $H$2:$H298, $H298)=1, 1, 0)</f>
        <v>1</v>
      </c>
      <c r="N298">
        <f>_xlfn.IFNA(HLOOKUP($J298, fee_reference!$B$1:$E$2, 2, FALSE), 0)</f>
        <v>1.4999999999999999E-2</v>
      </c>
    </row>
    <row r="299" spans="1:14" x14ac:dyDescent="0.3">
      <c r="A299" s="2" t="s">
        <v>312</v>
      </c>
      <c r="B299">
        <v>255</v>
      </c>
      <c r="C299">
        <v>24</v>
      </c>
      <c r="D299" t="str">
        <f>IFERROR(VLOOKUP($C299,merchants!$A$2:$D$41,2,FALSE),"Merchant not found")</f>
        <v>Merchant_024</v>
      </c>
      <c r="E299" t="str">
        <f>IFERROR(VLOOKUP($C299, merchants!$A$2:$D$41, 4, FALSE), "Merchant not found")</f>
        <v>North</v>
      </c>
      <c r="F299" t="str">
        <f>IFERROR(VLOOKUP($C299, merchants!$A$2:$D$41, 3, FALSE), "Merchant not found")</f>
        <v>grocery</v>
      </c>
      <c r="G299" s="1">
        <v>46033.229861111111</v>
      </c>
      <c r="H299" s="4">
        <f t="shared" si="4"/>
        <v>46033</v>
      </c>
      <c r="I299">
        <v>799</v>
      </c>
      <c r="J299" s="2" t="s">
        <v>12</v>
      </c>
      <c r="K299" s="2" t="s">
        <v>10</v>
      </c>
      <c r="L299">
        <v>66</v>
      </c>
      <c r="M299">
        <f>IF(COUNTIFS($D$2:$D299, $D299, $H$2:$H299, $H299)=1, 1, 0)</f>
        <v>1</v>
      </c>
      <c r="N299">
        <f>_xlfn.IFNA(HLOOKUP($J299, fee_reference!$B$1:$E$2, 2, FALSE), 0)</f>
        <v>0</v>
      </c>
    </row>
    <row r="300" spans="1:14" x14ac:dyDescent="0.3">
      <c r="A300" s="2" t="s">
        <v>313</v>
      </c>
      <c r="B300">
        <v>218</v>
      </c>
      <c r="C300">
        <v>6</v>
      </c>
      <c r="D300" t="str">
        <f>IFERROR(VLOOKUP($C300,merchants!$A$2:$D$41,2,FALSE),"Merchant not found")</f>
        <v>Merchant_006</v>
      </c>
      <c r="E300" t="str">
        <f>IFERROR(VLOOKUP($C300, merchants!$A$2:$D$41, 4, FALSE), "Merchant not found")</f>
        <v>South</v>
      </c>
      <c r="F300" t="str">
        <f>IFERROR(VLOOKUP($C300, merchants!$A$2:$D$41, 3, FALSE), "Merchant not found")</f>
        <v>food_delivery</v>
      </c>
      <c r="G300" s="1">
        <v>46031.115277777775</v>
      </c>
      <c r="H300" s="4">
        <f t="shared" si="4"/>
        <v>46031</v>
      </c>
      <c r="I300">
        <v>99</v>
      </c>
      <c r="J300" s="2" t="s">
        <v>12</v>
      </c>
      <c r="K300" s="2" t="s">
        <v>10</v>
      </c>
      <c r="L300">
        <v>55</v>
      </c>
      <c r="M300">
        <f>IF(COUNTIFS($D$2:$D300, $D300, $H$2:$H300, $H300)=1, 1, 0)</f>
        <v>1</v>
      </c>
      <c r="N300">
        <f>_xlfn.IFNA(HLOOKUP($J300, fee_reference!$B$1:$E$2, 2, FALSE), 0)</f>
        <v>0</v>
      </c>
    </row>
    <row r="301" spans="1:14" x14ac:dyDescent="0.3">
      <c r="A301" s="2" t="s">
        <v>314</v>
      </c>
      <c r="B301">
        <v>151</v>
      </c>
      <c r="C301">
        <v>21</v>
      </c>
      <c r="D301" t="str">
        <f>IFERROR(VLOOKUP($C301,merchants!$A$2:$D$41,2,FALSE),"Merchant not found")</f>
        <v>Merchant_021</v>
      </c>
      <c r="E301" t="str">
        <f>IFERROR(VLOOKUP($C301, merchants!$A$2:$D$41, 4, FALSE), "Merchant not found")</f>
        <v>East</v>
      </c>
      <c r="F301" t="str">
        <f>IFERROR(VLOOKUP($C301, merchants!$A$2:$D$41, 3, FALSE), "Merchant not found")</f>
        <v>food_delivery</v>
      </c>
      <c r="G301" s="1">
        <v>46042.231944444444</v>
      </c>
      <c r="H301" s="4">
        <f t="shared" si="4"/>
        <v>46042</v>
      </c>
      <c r="I301">
        <v>49</v>
      </c>
      <c r="J301" s="2" t="s">
        <v>12</v>
      </c>
      <c r="K301" s="2" t="s">
        <v>10</v>
      </c>
      <c r="L301">
        <v>13</v>
      </c>
      <c r="M301">
        <f>IF(COUNTIFS($D$2:$D301, $D301, $H$2:$H301, $H301)=1, 1, 0)</f>
        <v>1</v>
      </c>
      <c r="N301">
        <f>_xlfn.IFNA(HLOOKUP($J301, fee_reference!$B$1:$E$2, 2, FALSE), 0)</f>
        <v>0</v>
      </c>
    </row>
    <row r="302" spans="1:14" x14ac:dyDescent="0.3">
      <c r="A302" s="2" t="s">
        <v>315</v>
      </c>
      <c r="B302">
        <v>152</v>
      </c>
      <c r="C302">
        <v>20</v>
      </c>
      <c r="D302" t="str">
        <f>IFERROR(VLOOKUP($C302,merchants!$A$2:$D$41,2,FALSE),"Merchant not found")</f>
        <v>Merchant_020</v>
      </c>
      <c r="E302" t="str">
        <f>IFERROR(VLOOKUP($C302, merchants!$A$2:$D$41, 4, FALSE), "Merchant not found")</f>
        <v>East</v>
      </c>
      <c r="F302" t="str">
        <f>IFERROR(VLOOKUP($C302, merchants!$A$2:$D$41, 3, FALSE), "Merchant not found")</f>
        <v>food_delivery</v>
      </c>
      <c r="G302" s="1">
        <v>46025.445833333331</v>
      </c>
      <c r="H302" s="4">
        <f t="shared" si="4"/>
        <v>46025</v>
      </c>
      <c r="I302">
        <v>49</v>
      </c>
      <c r="J302" s="2" t="s">
        <v>12</v>
      </c>
      <c r="K302" s="2" t="s">
        <v>10</v>
      </c>
      <c r="L302">
        <v>57</v>
      </c>
      <c r="M302">
        <f>IF(COUNTIFS($D$2:$D302, $D302, $H$2:$H302, $H302)=1, 1, 0)</f>
        <v>1</v>
      </c>
      <c r="N302">
        <f>_xlfn.IFNA(HLOOKUP($J302, fee_reference!$B$1:$E$2, 2, FALSE), 0)</f>
        <v>0</v>
      </c>
    </row>
    <row r="303" spans="1:14" x14ac:dyDescent="0.3">
      <c r="A303" s="2" t="s">
        <v>316</v>
      </c>
      <c r="B303">
        <v>86</v>
      </c>
      <c r="C303">
        <v>29</v>
      </c>
      <c r="D303" t="str">
        <f>IFERROR(VLOOKUP($C303,merchants!$A$2:$D$41,2,FALSE),"Merchant not found")</f>
        <v>Merchant_029</v>
      </c>
      <c r="E303" t="str">
        <f>IFERROR(VLOOKUP($C303, merchants!$A$2:$D$41, 4, FALSE), "Merchant not found")</f>
        <v>North</v>
      </c>
      <c r="F303" t="str">
        <f>IFERROR(VLOOKUP($C303, merchants!$A$2:$D$41, 3, FALSE), "Merchant not found")</f>
        <v>ecommerce</v>
      </c>
      <c r="G303" s="1">
        <v>46042.935416666667</v>
      </c>
      <c r="H303" s="4">
        <f t="shared" si="4"/>
        <v>46042</v>
      </c>
      <c r="I303">
        <v>149</v>
      </c>
      <c r="J303" s="2" t="s">
        <v>24</v>
      </c>
      <c r="K303" s="2" t="s">
        <v>10</v>
      </c>
      <c r="L303">
        <v>44</v>
      </c>
      <c r="M303">
        <f>IF(COUNTIFS($D$2:$D303, $D303, $H$2:$H303, $H303)=1, 1, 0)</f>
        <v>1</v>
      </c>
      <c r="N303">
        <f>_xlfn.IFNA(HLOOKUP($J303, fee_reference!$B$1:$E$2, 2, FALSE), 0)</f>
        <v>2.5000000000000001E-2</v>
      </c>
    </row>
    <row r="304" spans="1:14" x14ac:dyDescent="0.3">
      <c r="A304" s="2" t="s">
        <v>317</v>
      </c>
      <c r="B304">
        <v>181</v>
      </c>
      <c r="C304">
        <v>40</v>
      </c>
      <c r="D304" t="str">
        <f>IFERROR(VLOOKUP($C304,merchants!$A$2:$D$41,2,FALSE),"Merchant not found")</f>
        <v>Merchant_040</v>
      </c>
      <c r="E304" t="str">
        <f>IFERROR(VLOOKUP($C304, merchants!$A$2:$D$41, 4, FALSE), "Merchant not found")</f>
        <v>South</v>
      </c>
      <c r="F304" t="str">
        <f>IFERROR(VLOOKUP($C304, merchants!$A$2:$D$41, 3, FALSE), "Merchant not found")</f>
        <v>entertainment</v>
      </c>
      <c r="G304" s="1">
        <v>46037.073611111111</v>
      </c>
      <c r="H304" s="4">
        <f t="shared" si="4"/>
        <v>46037</v>
      </c>
      <c r="I304">
        <v>149</v>
      </c>
      <c r="J304" s="2" t="s">
        <v>12</v>
      </c>
      <c r="K304" s="2" t="s">
        <v>10</v>
      </c>
      <c r="L304">
        <v>55</v>
      </c>
      <c r="M304">
        <f>IF(COUNTIFS($D$2:$D304, $D304, $H$2:$H304, $H304)=1, 1, 0)</f>
        <v>1</v>
      </c>
      <c r="N304">
        <f>_xlfn.IFNA(HLOOKUP($J304, fee_reference!$B$1:$E$2, 2, FALSE), 0)</f>
        <v>0</v>
      </c>
    </row>
    <row r="305" spans="1:14" x14ac:dyDescent="0.3">
      <c r="A305" s="2" t="s">
        <v>318</v>
      </c>
      <c r="B305">
        <v>30</v>
      </c>
      <c r="C305">
        <v>5</v>
      </c>
      <c r="D305" t="str">
        <f>IFERROR(VLOOKUP($C305,merchants!$A$2:$D$41,2,FALSE),"Merchant not found")</f>
        <v>Merchant_005</v>
      </c>
      <c r="E305" t="str">
        <f>IFERROR(VLOOKUP($C305, merchants!$A$2:$D$41, 4, FALSE), "Merchant not found")</f>
        <v>South</v>
      </c>
      <c r="F305" t="str">
        <f>IFERROR(VLOOKUP($C305, merchants!$A$2:$D$41, 3, FALSE), "Merchant not found")</f>
        <v>recharge</v>
      </c>
      <c r="G305" s="1">
        <v>46031.868055555555</v>
      </c>
      <c r="H305" s="4">
        <f t="shared" si="4"/>
        <v>46031</v>
      </c>
      <c r="I305">
        <v>299</v>
      </c>
      <c r="J305" s="2" t="s">
        <v>12</v>
      </c>
      <c r="K305" s="2" t="s">
        <v>10</v>
      </c>
      <c r="L305">
        <v>85</v>
      </c>
      <c r="M305">
        <f>IF(COUNTIFS($D$2:$D305, $D305, $H$2:$H305, $H305)=1, 1, 0)</f>
        <v>0</v>
      </c>
      <c r="N305">
        <f>_xlfn.IFNA(HLOOKUP($J305, fee_reference!$B$1:$E$2, 2, FALSE), 0)</f>
        <v>0</v>
      </c>
    </row>
    <row r="306" spans="1:14" x14ac:dyDescent="0.3">
      <c r="A306" s="2" t="s">
        <v>319</v>
      </c>
      <c r="B306">
        <v>263</v>
      </c>
      <c r="C306">
        <v>11</v>
      </c>
      <c r="D306" t="str">
        <f>IFERROR(VLOOKUP($C306,merchants!$A$2:$D$41,2,FALSE),"Merchant not found")</f>
        <v>Merchant_011</v>
      </c>
      <c r="E306" t="str">
        <f>IFERROR(VLOOKUP($C306, merchants!$A$2:$D$41, 4, FALSE), "Merchant not found")</f>
        <v>North</v>
      </c>
      <c r="F306" t="str">
        <f>IFERROR(VLOOKUP($C306, merchants!$A$2:$D$41, 3, FALSE), "Merchant not found")</f>
        <v>ecommerce</v>
      </c>
      <c r="G306" s="1">
        <v>46043.515972222223</v>
      </c>
      <c r="H306" s="4">
        <f t="shared" si="4"/>
        <v>46043</v>
      </c>
      <c r="I306">
        <v>149</v>
      </c>
      <c r="J306" s="2" t="s">
        <v>9</v>
      </c>
      <c r="K306" s="2" t="s">
        <v>10</v>
      </c>
      <c r="L306">
        <v>3</v>
      </c>
      <c r="M306">
        <f>IF(COUNTIFS($D$2:$D306, $D306, $H$2:$H306, $H306)=1, 1, 0)</f>
        <v>1</v>
      </c>
      <c r="N306">
        <f>_xlfn.IFNA(HLOOKUP($J306, fee_reference!$B$1:$E$2, 2, FALSE), 0)</f>
        <v>1.4999999999999999E-2</v>
      </c>
    </row>
    <row r="307" spans="1:14" x14ac:dyDescent="0.3">
      <c r="A307" s="2" t="s">
        <v>320</v>
      </c>
      <c r="B307">
        <v>225</v>
      </c>
      <c r="C307">
        <v>3</v>
      </c>
      <c r="D307" t="str">
        <f>IFERROR(VLOOKUP($C307,merchants!$A$2:$D$41,2,FALSE),"Merchant not found")</f>
        <v>Merchant_003</v>
      </c>
      <c r="E307" t="str">
        <f>IFERROR(VLOOKUP($C307, merchants!$A$2:$D$41, 4, FALSE), "Merchant not found")</f>
        <v>East</v>
      </c>
      <c r="F307" t="str">
        <f>IFERROR(VLOOKUP($C307, merchants!$A$2:$D$41, 3, FALSE), "Merchant not found")</f>
        <v>grocery</v>
      </c>
      <c r="G307" s="1">
        <v>46027.821527777778</v>
      </c>
      <c r="H307" s="4">
        <f t="shared" si="4"/>
        <v>46027</v>
      </c>
      <c r="I307">
        <v>99</v>
      </c>
      <c r="J307" s="2" t="s">
        <v>15</v>
      </c>
      <c r="K307" s="2" t="s">
        <v>10</v>
      </c>
      <c r="L307">
        <v>16</v>
      </c>
      <c r="M307">
        <f>IF(COUNTIFS($D$2:$D307, $D307, $H$2:$H307, $H307)=1, 1, 0)</f>
        <v>1</v>
      </c>
      <c r="N307">
        <f>_xlfn.IFNA(HLOOKUP($J307, fee_reference!$B$1:$E$2, 2, FALSE), 0)</f>
        <v>0.01</v>
      </c>
    </row>
    <row r="308" spans="1:14" x14ac:dyDescent="0.3">
      <c r="A308" s="2" t="s">
        <v>321</v>
      </c>
      <c r="B308">
        <v>331</v>
      </c>
      <c r="C308">
        <v>24</v>
      </c>
      <c r="D308" t="str">
        <f>IFERROR(VLOOKUP($C308,merchants!$A$2:$D$41,2,FALSE),"Merchant not found")</f>
        <v>Merchant_024</v>
      </c>
      <c r="E308" t="str">
        <f>IFERROR(VLOOKUP($C308, merchants!$A$2:$D$41, 4, FALSE), "Merchant not found")</f>
        <v>North</v>
      </c>
      <c r="F308" t="str">
        <f>IFERROR(VLOOKUP($C308, merchants!$A$2:$D$41, 3, FALSE), "Merchant not found")</f>
        <v>grocery</v>
      </c>
      <c r="G308" s="1">
        <v>46025.325694444444</v>
      </c>
      <c r="H308" s="4">
        <f t="shared" si="4"/>
        <v>46025</v>
      </c>
      <c r="I308">
        <v>49</v>
      </c>
      <c r="J308" s="2" t="s">
        <v>24</v>
      </c>
      <c r="K308" s="2" t="s">
        <v>10</v>
      </c>
      <c r="L308">
        <v>46</v>
      </c>
      <c r="M308">
        <f>IF(COUNTIFS($D$2:$D308, $D308, $H$2:$H308, $H308)=1, 1, 0)</f>
        <v>1</v>
      </c>
      <c r="N308">
        <f>_xlfn.IFNA(HLOOKUP($J308, fee_reference!$B$1:$E$2, 2, FALSE), 0)</f>
        <v>2.5000000000000001E-2</v>
      </c>
    </row>
    <row r="309" spans="1:14" x14ac:dyDescent="0.3">
      <c r="A309" s="2" t="s">
        <v>322</v>
      </c>
      <c r="B309">
        <v>310</v>
      </c>
      <c r="C309">
        <v>10</v>
      </c>
      <c r="D309" t="str">
        <f>IFERROR(VLOOKUP($C309,merchants!$A$2:$D$41,2,FALSE),"Merchant not found")</f>
        <v>Merchant_010</v>
      </c>
      <c r="E309" t="str">
        <f>IFERROR(VLOOKUP($C309, merchants!$A$2:$D$41, 4, FALSE), "Merchant not found")</f>
        <v>West</v>
      </c>
      <c r="F309" t="str">
        <f>IFERROR(VLOOKUP($C309, merchants!$A$2:$D$41, 3, FALSE), "Merchant not found")</f>
        <v>grocery</v>
      </c>
      <c r="G309" s="1">
        <v>46035.751388888886</v>
      </c>
      <c r="H309" s="4">
        <f t="shared" si="4"/>
        <v>46035</v>
      </c>
      <c r="I309">
        <v>1499</v>
      </c>
      <c r="J309" s="2" t="s">
        <v>24</v>
      </c>
      <c r="K309" s="2" t="s">
        <v>10</v>
      </c>
      <c r="L309">
        <v>86</v>
      </c>
      <c r="M309">
        <f>IF(COUNTIFS($D$2:$D309, $D309, $H$2:$H309, $H309)=1, 1, 0)</f>
        <v>1</v>
      </c>
      <c r="N309">
        <f>_xlfn.IFNA(HLOOKUP($J309, fee_reference!$B$1:$E$2, 2, FALSE), 0)</f>
        <v>2.5000000000000001E-2</v>
      </c>
    </row>
    <row r="310" spans="1:14" x14ac:dyDescent="0.3">
      <c r="A310" s="2" t="s">
        <v>323</v>
      </c>
      <c r="B310">
        <v>228</v>
      </c>
      <c r="C310">
        <v>5</v>
      </c>
      <c r="D310" t="str">
        <f>IFERROR(VLOOKUP($C310,merchants!$A$2:$D$41,2,FALSE),"Merchant not found")</f>
        <v>Merchant_005</v>
      </c>
      <c r="E310" t="str">
        <f>IFERROR(VLOOKUP($C310, merchants!$A$2:$D$41, 4, FALSE), "Merchant not found")</f>
        <v>South</v>
      </c>
      <c r="F310" t="str">
        <f>IFERROR(VLOOKUP($C310, merchants!$A$2:$D$41, 3, FALSE), "Merchant not found")</f>
        <v>recharge</v>
      </c>
      <c r="G310" s="1">
        <v>46037.474305555559</v>
      </c>
      <c r="H310" s="4">
        <f t="shared" si="4"/>
        <v>46037</v>
      </c>
      <c r="I310">
        <v>49</v>
      </c>
      <c r="J310" s="2" t="s">
        <v>12</v>
      </c>
      <c r="K310" s="2" t="s">
        <v>10</v>
      </c>
      <c r="L310">
        <v>73</v>
      </c>
      <c r="M310">
        <f>IF(COUNTIFS($D$2:$D310, $D310, $H$2:$H310, $H310)=1, 1, 0)</f>
        <v>1</v>
      </c>
      <c r="N310">
        <f>_xlfn.IFNA(HLOOKUP($J310, fee_reference!$B$1:$E$2, 2, FALSE), 0)</f>
        <v>0</v>
      </c>
    </row>
    <row r="311" spans="1:14" x14ac:dyDescent="0.3">
      <c r="A311" s="2" t="s">
        <v>324</v>
      </c>
      <c r="B311">
        <v>204</v>
      </c>
      <c r="C311">
        <v>21</v>
      </c>
      <c r="D311" t="str">
        <f>IFERROR(VLOOKUP($C311,merchants!$A$2:$D$41,2,FALSE),"Merchant not found")</f>
        <v>Merchant_021</v>
      </c>
      <c r="E311" t="str">
        <f>IFERROR(VLOOKUP($C311, merchants!$A$2:$D$41, 4, FALSE), "Merchant not found")</f>
        <v>East</v>
      </c>
      <c r="F311" t="str">
        <f>IFERROR(VLOOKUP($C311, merchants!$A$2:$D$41, 3, FALSE), "Merchant not found")</f>
        <v>food_delivery</v>
      </c>
      <c r="G311" s="1">
        <v>46027.682638888888</v>
      </c>
      <c r="H311" s="4">
        <f t="shared" si="4"/>
        <v>46027</v>
      </c>
      <c r="I311">
        <v>499</v>
      </c>
      <c r="J311" s="2" t="s">
        <v>12</v>
      </c>
      <c r="K311" s="2" t="s">
        <v>10</v>
      </c>
      <c r="L311">
        <v>83</v>
      </c>
      <c r="M311">
        <f>IF(COUNTIFS($D$2:$D311, $D311, $H$2:$H311, $H311)=1, 1, 0)</f>
        <v>1</v>
      </c>
      <c r="N311">
        <f>_xlfn.IFNA(HLOOKUP($J311, fee_reference!$B$1:$E$2, 2, FALSE), 0)</f>
        <v>0</v>
      </c>
    </row>
    <row r="312" spans="1:14" x14ac:dyDescent="0.3">
      <c r="A312" s="2" t="s">
        <v>325</v>
      </c>
      <c r="B312">
        <v>14</v>
      </c>
      <c r="C312">
        <v>12</v>
      </c>
      <c r="D312" t="str">
        <f>IFERROR(VLOOKUP($C312,merchants!$A$2:$D$41,2,FALSE),"Merchant not found")</f>
        <v>Merchant_012</v>
      </c>
      <c r="E312" t="str">
        <f>IFERROR(VLOOKUP($C312, merchants!$A$2:$D$41, 4, FALSE), "Merchant not found")</f>
        <v>East</v>
      </c>
      <c r="F312" t="str">
        <f>IFERROR(VLOOKUP($C312, merchants!$A$2:$D$41, 3, FALSE), "Merchant not found")</f>
        <v>ecommerce</v>
      </c>
      <c r="G312" s="1">
        <v>46031.296527777777</v>
      </c>
      <c r="H312" s="4">
        <f t="shared" si="4"/>
        <v>46031</v>
      </c>
      <c r="I312">
        <v>799</v>
      </c>
      <c r="J312" s="2" t="s">
        <v>15</v>
      </c>
      <c r="K312" s="2" t="s">
        <v>10</v>
      </c>
      <c r="L312">
        <v>63</v>
      </c>
      <c r="M312">
        <f>IF(COUNTIFS($D$2:$D312, $D312, $H$2:$H312, $H312)=1, 1, 0)</f>
        <v>1</v>
      </c>
      <c r="N312">
        <f>_xlfn.IFNA(HLOOKUP($J312, fee_reference!$B$1:$E$2, 2, FALSE), 0)</f>
        <v>0.01</v>
      </c>
    </row>
    <row r="313" spans="1:14" x14ac:dyDescent="0.3">
      <c r="A313" s="2" t="s">
        <v>326</v>
      </c>
      <c r="B313">
        <v>288</v>
      </c>
      <c r="C313">
        <v>8</v>
      </c>
      <c r="D313" t="str">
        <f>IFERROR(VLOOKUP($C313,merchants!$A$2:$D$41,2,FALSE),"Merchant not found")</f>
        <v>Merchant_008</v>
      </c>
      <c r="E313" t="str">
        <f>IFERROR(VLOOKUP($C313, merchants!$A$2:$D$41, 4, FALSE), "Merchant not found")</f>
        <v>North</v>
      </c>
      <c r="F313" t="str">
        <f>IFERROR(VLOOKUP($C313, merchants!$A$2:$D$41, 3, FALSE), "Merchant not found")</f>
        <v>food_delivery</v>
      </c>
      <c r="G313" s="1">
        <v>46039.540277777778</v>
      </c>
      <c r="H313" s="4">
        <f t="shared" si="4"/>
        <v>46039</v>
      </c>
      <c r="I313">
        <v>49</v>
      </c>
      <c r="J313" s="2" t="s">
        <v>12</v>
      </c>
      <c r="K313" s="2" t="s">
        <v>10</v>
      </c>
      <c r="L313">
        <v>33</v>
      </c>
      <c r="M313">
        <f>IF(COUNTIFS($D$2:$D313, $D313, $H$2:$H313, $H313)=1, 1, 0)</f>
        <v>0</v>
      </c>
      <c r="N313">
        <f>_xlfn.IFNA(HLOOKUP($J313, fee_reference!$B$1:$E$2, 2, FALSE), 0)</f>
        <v>0</v>
      </c>
    </row>
    <row r="314" spans="1:14" x14ac:dyDescent="0.3">
      <c r="A314" s="2" t="s">
        <v>327</v>
      </c>
      <c r="B314">
        <v>229</v>
      </c>
      <c r="C314">
        <v>14</v>
      </c>
      <c r="D314" t="str">
        <f>IFERROR(VLOOKUP($C314,merchants!$A$2:$D$41,2,FALSE),"Merchant not found")</f>
        <v>Merchant_014</v>
      </c>
      <c r="E314" t="str">
        <f>IFERROR(VLOOKUP($C314, merchants!$A$2:$D$41, 4, FALSE), "Merchant not found")</f>
        <v>East</v>
      </c>
      <c r="F314" t="str">
        <f>IFERROR(VLOOKUP($C314, merchants!$A$2:$D$41, 3, FALSE), "Merchant not found")</f>
        <v>grocery</v>
      </c>
      <c r="G314" s="1">
        <v>46047.364583333336</v>
      </c>
      <c r="H314" s="4">
        <f t="shared" si="4"/>
        <v>46047</v>
      </c>
      <c r="I314">
        <v>1499</v>
      </c>
      <c r="J314" s="2" t="s">
        <v>12</v>
      </c>
      <c r="K314" s="2" t="s">
        <v>10</v>
      </c>
      <c r="L314">
        <v>78</v>
      </c>
      <c r="M314">
        <f>IF(COUNTIFS($D$2:$D314, $D314, $H$2:$H314, $H314)=1, 1, 0)</f>
        <v>1</v>
      </c>
      <c r="N314">
        <f>_xlfn.IFNA(HLOOKUP($J314, fee_reference!$B$1:$E$2, 2, FALSE), 0)</f>
        <v>0</v>
      </c>
    </row>
    <row r="315" spans="1:14" x14ac:dyDescent="0.3">
      <c r="A315" s="2" t="s">
        <v>328</v>
      </c>
      <c r="B315">
        <v>252</v>
      </c>
      <c r="C315">
        <v>13</v>
      </c>
      <c r="D315" t="str">
        <f>IFERROR(VLOOKUP($C315,merchants!$A$2:$D$41,2,FALSE),"Merchant not found")</f>
        <v>Merchant_013</v>
      </c>
      <c r="E315" t="str">
        <f>IFERROR(VLOOKUP($C315, merchants!$A$2:$D$41, 4, FALSE), "Merchant not found")</f>
        <v>East</v>
      </c>
      <c r="F315" t="str">
        <f>IFERROR(VLOOKUP($C315, merchants!$A$2:$D$41, 3, FALSE), "Merchant not found")</f>
        <v>travel</v>
      </c>
      <c r="G315" s="1">
        <v>46032.956944444442</v>
      </c>
      <c r="H315" s="4">
        <f t="shared" si="4"/>
        <v>46032</v>
      </c>
      <c r="I315">
        <v>99</v>
      </c>
      <c r="J315" s="2" t="s">
        <v>9</v>
      </c>
      <c r="K315" s="2" t="s">
        <v>10</v>
      </c>
      <c r="L315">
        <v>15</v>
      </c>
      <c r="M315">
        <f>IF(COUNTIFS($D$2:$D315, $D315, $H$2:$H315, $H315)=1, 1, 0)</f>
        <v>1</v>
      </c>
      <c r="N315">
        <f>_xlfn.IFNA(HLOOKUP($J315, fee_reference!$B$1:$E$2, 2, FALSE), 0)</f>
        <v>1.4999999999999999E-2</v>
      </c>
    </row>
    <row r="316" spans="1:14" x14ac:dyDescent="0.3">
      <c r="A316" s="2" t="s">
        <v>329</v>
      </c>
      <c r="B316">
        <v>89</v>
      </c>
      <c r="C316">
        <v>29</v>
      </c>
      <c r="D316" t="str">
        <f>IFERROR(VLOOKUP($C316,merchants!$A$2:$D$41,2,FALSE),"Merchant not found")</f>
        <v>Merchant_029</v>
      </c>
      <c r="E316" t="str">
        <f>IFERROR(VLOOKUP($C316, merchants!$A$2:$D$41, 4, FALSE), "Merchant not found")</f>
        <v>North</v>
      </c>
      <c r="F316" t="str">
        <f>IFERROR(VLOOKUP($C316, merchants!$A$2:$D$41, 3, FALSE), "Merchant not found")</f>
        <v>ecommerce</v>
      </c>
      <c r="G316" s="1">
        <v>46027.102777777778</v>
      </c>
      <c r="H316" s="4">
        <f t="shared" si="4"/>
        <v>46027</v>
      </c>
      <c r="I316">
        <v>799</v>
      </c>
      <c r="J316" s="2" t="s">
        <v>12</v>
      </c>
      <c r="K316" s="2" t="s">
        <v>10</v>
      </c>
      <c r="L316">
        <v>11</v>
      </c>
      <c r="M316">
        <f>IF(COUNTIFS($D$2:$D316, $D316, $H$2:$H316, $H316)=1, 1, 0)</f>
        <v>1</v>
      </c>
      <c r="N316">
        <f>_xlfn.IFNA(HLOOKUP($J316, fee_reference!$B$1:$E$2, 2, FALSE), 0)</f>
        <v>0</v>
      </c>
    </row>
    <row r="317" spans="1:14" x14ac:dyDescent="0.3">
      <c r="A317" s="2" t="s">
        <v>330</v>
      </c>
      <c r="B317">
        <v>164</v>
      </c>
      <c r="C317">
        <v>23</v>
      </c>
      <c r="D317" t="str">
        <f>IFERROR(VLOOKUP($C317,merchants!$A$2:$D$41,2,FALSE),"Merchant not found")</f>
        <v>Merchant_023</v>
      </c>
      <c r="E317" t="str">
        <f>IFERROR(VLOOKUP($C317, merchants!$A$2:$D$41, 4, FALSE), "Merchant not found")</f>
        <v>North</v>
      </c>
      <c r="F317" t="str">
        <f>IFERROR(VLOOKUP($C317, merchants!$A$2:$D$41, 3, FALSE), "Merchant not found")</f>
        <v>travel</v>
      </c>
      <c r="G317" s="1">
        <v>46048.912499999999</v>
      </c>
      <c r="H317" s="4">
        <f t="shared" si="4"/>
        <v>46048</v>
      </c>
      <c r="I317">
        <v>49</v>
      </c>
      <c r="J317" s="2" t="s">
        <v>15</v>
      </c>
      <c r="K317" s="2" t="s">
        <v>10</v>
      </c>
      <c r="L317">
        <v>90</v>
      </c>
      <c r="M317">
        <f>IF(COUNTIFS($D$2:$D317, $D317, $H$2:$H317, $H317)=1, 1, 0)</f>
        <v>1</v>
      </c>
      <c r="N317">
        <f>_xlfn.IFNA(HLOOKUP($J317, fee_reference!$B$1:$E$2, 2, FALSE), 0)</f>
        <v>0.01</v>
      </c>
    </row>
    <row r="318" spans="1:14" x14ac:dyDescent="0.3">
      <c r="A318" s="2" t="s">
        <v>331</v>
      </c>
      <c r="B318">
        <v>149</v>
      </c>
      <c r="C318">
        <v>20</v>
      </c>
      <c r="D318" t="str">
        <f>IFERROR(VLOOKUP($C318,merchants!$A$2:$D$41,2,FALSE),"Merchant not found")</f>
        <v>Merchant_020</v>
      </c>
      <c r="E318" t="str">
        <f>IFERROR(VLOOKUP($C318, merchants!$A$2:$D$41, 4, FALSE), "Merchant not found")</f>
        <v>East</v>
      </c>
      <c r="F318" t="str">
        <f>IFERROR(VLOOKUP($C318, merchants!$A$2:$D$41, 3, FALSE), "Merchant not found")</f>
        <v>food_delivery</v>
      </c>
      <c r="G318" s="1">
        <v>46025.731944444444</v>
      </c>
      <c r="H318" s="4">
        <f t="shared" si="4"/>
        <v>46025</v>
      </c>
      <c r="I318">
        <v>299</v>
      </c>
      <c r="J318" s="2" t="s">
        <v>9</v>
      </c>
      <c r="K318" s="2" t="s">
        <v>10</v>
      </c>
      <c r="L318">
        <v>20</v>
      </c>
      <c r="M318">
        <f>IF(COUNTIFS($D$2:$D318, $D318, $H$2:$H318, $H318)=1, 1, 0)</f>
        <v>0</v>
      </c>
      <c r="N318">
        <f>_xlfn.IFNA(HLOOKUP($J318, fee_reference!$B$1:$E$2, 2, FALSE), 0)</f>
        <v>1.4999999999999999E-2</v>
      </c>
    </row>
    <row r="319" spans="1:14" x14ac:dyDescent="0.3">
      <c r="A319" s="2" t="s">
        <v>332</v>
      </c>
      <c r="B319">
        <v>327</v>
      </c>
      <c r="C319">
        <v>12</v>
      </c>
      <c r="D319" t="str">
        <f>IFERROR(VLOOKUP($C319,merchants!$A$2:$D$41,2,FALSE),"Merchant not found")</f>
        <v>Merchant_012</v>
      </c>
      <c r="E319" t="str">
        <f>IFERROR(VLOOKUP($C319, merchants!$A$2:$D$41, 4, FALSE), "Merchant not found")</f>
        <v>East</v>
      </c>
      <c r="F319" t="str">
        <f>IFERROR(VLOOKUP($C319, merchants!$A$2:$D$41, 3, FALSE), "Merchant not found")</f>
        <v>ecommerce</v>
      </c>
      <c r="G319" s="1">
        <v>46045.957638888889</v>
      </c>
      <c r="H319" s="4">
        <f t="shared" si="4"/>
        <v>46045</v>
      </c>
      <c r="I319">
        <v>49</v>
      </c>
      <c r="J319" s="2" t="s">
        <v>15</v>
      </c>
      <c r="K319" s="2" t="s">
        <v>10</v>
      </c>
      <c r="L319">
        <v>46</v>
      </c>
      <c r="M319">
        <f>IF(COUNTIFS($D$2:$D319, $D319, $H$2:$H319, $H319)=1, 1, 0)</f>
        <v>1</v>
      </c>
      <c r="N319">
        <f>_xlfn.IFNA(HLOOKUP($J319, fee_reference!$B$1:$E$2, 2, FALSE), 0)</f>
        <v>0.01</v>
      </c>
    </row>
    <row r="320" spans="1:14" x14ac:dyDescent="0.3">
      <c r="A320" s="2" t="s">
        <v>333</v>
      </c>
      <c r="B320">
        <v>103</v>
      </c>
      <c r="C320">
        <v>9</v>
      </c>
      <c r="D320" t="str">
        <f>IFERROR(VLOOKUP($C320,merchants!$A$2:$D$41,2,FALSE),"Merchant not found")</f>
        <v>Merchant_009</v>
      </c>
      <c r="E320" t="str">
        <f>IFERROR(VLOOKUP($C320, merchants!$A$2:$D$41, 4, FALSE), "Merchant not found")</f>
        <v>North</v>
      </c>
      <c r="F320" t="str">
        <f>IFERROR(VLOOKUP($C320, merchants!$A$2:$D$41, 3, FALSE), "Merchant not found")</f>
        <v>ecommerce</v>
      </c>
      <c r="G320" s="1">
        <v>46039.296527777777</v>
      </c>
      <c r="H320" s="4">
        <f t="shared" si="4"/>
        <v>46039</v>
      </c>
      <c r="I320">
        <v>149</v>
      </c>
      <c r="J320" s="2" t="s">
        <v>12</v>
      </c>
      <c r="K320" s="2" t="s">
        <v>10</v>
      </c>
      <c r="L320">
        <v>30</v>
      </c>
      <c r="M320">
        <f>IF(COUNTIFS($D$2:$D320, $D320, $H$2:$H320, $H320)=1, 1, 0)</f>
        <v>1</v>
      </c>
      <c r="N320">
        <f>_xlfn.IFNA(HLOOKUP($J320, fee_reference!$B$1:$E$2, 2, FALSE), 0)</f>
        <v>0</v>
      </c>
    </row>
    <row r="321" spans="1:14" x14ac:dyDescent="0.3">
      <c r="A321" s="2" t="s">
        <v>334</v>
      </c>
      <c r="B321">
        <v>185</v>
      </c>
      <c r="C321">
        <v>36</v>
      </c>
      <c r="D321" t="str">
        <f>IFERROR(VLOOKUP($C321,merchants!$A$2:$D$41,2,FALSE),"Merchant not found")</f>
        <v>Merchant_036</v>
      </c>
      <c r="E321" t="str">
        <f>IFERROR(VLOOKUP($C321, merchants!$A$2:$D$41, 4, FALSE), "Merchant not found")</f>
        <v>East</v>
      </c>
      <c r="F321" t="str">
        <f>IFERROR(VLOOKUP($C321, merchants!$A$2:$D$41, 3, FALSE), "Merchant not found")</f>
        <v>entertainment</v>
      </c>
      <c r="G321" s="1">
        <v>46048.625694444447</v>
      </c>
      <c r="H321" s="4">
        <f t="shared" si="4"/>
        <v>46048</v>
      </c>
      <c r="I321">
        <v>49</v>
      </c>
      <c r="J321" s="2" t="s">
        <v>9</v>
      </c>
      <c r="K321" s="2" t="s">
        <v>10</v>
      </c>
      <c r="L321">
        <v>73</v>
      </c>
      <c r="M321">
        <f>IF(COUNTIFS($D$2:$D321, $D321, $H$2:$H321, $H321)=1, 1, 0)</f>
        <v>0</v>
      </c>
      <c r="N321">
        <f>_xlfn.IFNA(HLOOKUP($J321, fee_reference!$B$1:$E$2, 2, FALSE), 0)</f>
        <v>1.4999999999999999E-2</v>
      </c>
    </row>
    <row r="322" spans="1:14" x14ac:dyDescent="0.3">
      <c r="A322" s="2" t="s">
        <v>335</v>
      </c>
      <c r="B322">
        <v>283</v>
      </c>
      <c r="C322">
        <v>9</v>
      </c>
      <c r="D322" t="str">
        <f>IFERROR(VLOOKUP($C322,merchants!$A$2:$D$41,2,FALSE),"Merchant not found")</f>
        <v>Merchant_009</v>
      </c>
      <c r="E322" t="str">
        <f>IFERROR(VLOOKUP($C322, merchants!$A$2:$D$41, 4, FALSE), "Merchant not found")</f>
        <v>North</v>
      </c>
      <c r="F322" t="str">
        <f>IFERROR(VLOOKUP($C322, merchants!$A$2:$D$41, 3, FALSE), "Merchant not found")</f>
        <v>ecommerce</v>
      </c>
      <c r="G322" s="1">
        <v>46034.618750000001</v>
      </c>
      <c r="H322" s="4">
        <f t="shared" ref="H322:H385" si="5">INT(G322)</f>
        <v>46034</v>
      </c>
      <c r="I322">
        <v>299</v>
      </c>
      <c r="J322" s="2" t="s">
        <v>12</v>
      </c>
      <c r="K322" s="2" t="s">
        <v>10</v>
      </c>
      <c r="L322">
        <v>78</v>
      </c>
      <c r="M322">
        <f>IF(COUNTIFS($D$2:$D322, $D322, $H$2:$H322, $H322)=1, 1, 0)</f>
        <v>1</v>
      </c>
      <c r="N322">
        <f>_xlfn.IFNA(HLOOKUP($J322, fee_reference!$B$1:$E$2, 2, FALSE), 0)</f>
        <v>0</v>
      </c>
    </row>
    <row r="323" spans="1:14" x14ac:dyDescent="0.3">
      <c r="A323" s="2" t="s">
        <v>336</v>
      </c>
      <c r="B323">
        <v>159</v>
      </c>
      <c r="C323">
        <v>26</v>
      </c>
      <c r="D323" t="str">
        <f>IFERROR(VLOOKUP($C323,merchants!$A$2:$D$41,2,FALSE),"Merchant not found")</f>
        <v>Merchant_026</v>
      </c>
      <c r="E323" t="str">
        <f>IFERROR(VLOOKUP($C323, merchants!$A$2:$D$41, 4, FALSE), "Merchant not found")</f>
        <v>East</v>
      </c>
      <c r="F323" t="str">
        <f>IFERROR(VLOOKUP($C323, merchants!$A$2:$D$41, 3, FALSE), "Merchant not found")</f>
        <v>food_delivery</v>
      </c>
      <c r="G323" s="1">
        <v>46051.086111111108</v>
      </c>
      <c r="H323" s="4">
        <f t="shared" si="5"/>
        <v>46051</v>
      </c>
      <c r="I323">
        <v>99</v>
      </c>
      <c r="J323" s="2" t="s">
        <v>12</v>
      </c>
      <c r="K323" s="2" t="s">
        <v>10</v>
      </c>
      <c r="L323">
        <v>91</v>
      </c>
      <c r="M323">
        <f>IF(COUNTIFS($D$2:$D323, $D323, $H$2:$H323, $H323)=1, 1, 0)</f>
        <v>1</v>
      </c>
      <c r="N323">
        <f>_xlfn.IFNA(HLOOKUP($J323, fee_reference!$B$1:$E$2, 2, FALSE), 0)</f>
        <v>0</v>
      </c>
    </row>
    <row r="324" spans="1:14" x14ac:dyDescent="0.3">
      <c r="A324" s="2" t="s">
        <v>337</v>
      </c>
      <c r="B324">
        <v>211</v>
      </c>
      <c r="C324">
        <v>27</v>
      </c>
      <c r="D324" t="str">
        <f>IFERROR(VLOOKUP($C324,merchants!$A$2:$D$41,2,FALSE),"Merchant not found")</f>
        <v>Merchant_027</v>
      </c>
      <c r="E324" t="str">
        <f>IFERROR(VLOOKUP($C324, merchants!$A$2:$D$41, 4, FALSE), "Merchant not found")</f>
        <v>North</v>
      </c>
      <c r="F324" t="str">
        <f>IFERROR(VLOOKUP($C324, merchants!$A$2:$D$41, 3, FALSE), "Merchant not found")</f>
        <v>ecommerce</v>
      </c>
      <c r="G324" s="1">
        <v>46046.647916666669</v>
      </c>
      <c r="H324" s="4">
        <f t="shared" si="5"/>
        <v>46046</v>
      </c>
      <c r="I324">
        <v>99</v>
      </c>
      <c r="J324" s="2" t="s">
        <v>9</v>
      </c>
      <c r="K324" s="2" t="s">
        <v>10</v>
      </c>
      <c r="L324">
        <v>73</v>
      </c>
      <c r="M324">
        <f>IF(COUNTIFS($D$2:$D324, $D324, $H$2:$H324, $H324)=1, 1, 0)</f>
        <v>1</v>
      </c>
      <c r="N324">
        <f>_xlfn.IFNA(HLOOKUP($J324, fee_reference!$B$1:$E$2, 2, FALSE), 0)</f>
        <v>1.4999999999999999E-2</v>
      </c>
    </row>
    <row r="325" spans="1:14" x14ac:dyDescent="0.3">
      <c r="A325" s="2" t="s">
        <v>338</v>
      </c>
      <c r="B325">
        <v>329</v>
      </c>
      <c r="C325">
        <v>5</v>
      </c>
      <c r="D325" t="str">
        <f>IFERROR(VLOOKUP($C325,merchants!$A$2:$D$41,2,FALSE),"Merchant not found")</f>
        <v>Merchant_005</v>
      </c>
      <c r="E325" t="str">
        <f>IFERROR(VLOOKUP($C325, merchants!$A$2:$D$41, 4, FALSE), "Merchant not found")</f>
        <v>South</v>
      </c>
      <c r="F325" t="str">
        <f>IFERROR(VLOOKUP($C325, merchants!$A$2:$D$41, 3, FALSE), "Merchant not found")</f>
        <v>recharge</v>
      </c>
      <c r="G325" s="1">
        <v>46025.180555555555</v>
      </c>
      <c r="H325" s="4">
        <f t="shared" si="5"/>
        <v>46025</v>
      </c>
      <c r="I325">
        <v>499</v>
      </c>
      <c r="J325" s="2" t="s">
        <v>15</v>
      </c>
      <c r="K325" s="2" t="s">
        <v>10</v>
      </c>
      <c r="L325">
        <v>57</v>
      </c>
      <c r="M325">
        <f>IF(COUNTIFS($D$2:$D325, $D325, $H$2:$H325, $H325)=1, 1, 0)</f>
        <v>1</v>
      </c>
      <c r="N325">
        <f>_xlfn.IFNA(HLOOKUP($J325, fee_reference!$B$1:$E$2, 2, FALSE), 0)</f>
        <v>0.01</v>
      </c>
    </row>
    <row r="326" spans="1:14" x14ac:dyDescent="0.3">
      <c r="A326" s="2" t="s">
        <v>339</v>
      </c>
      <c r="B326">
        <v>177</v>
      </c>
      <c r="C326">
        <v>9</v>
      </c>
      <c r="D326" t="str">
        <f>IFERROR(VLOOKUP($C326,merchants!$A$2:$D$41,2,FALSE),"Merchant not found")</f>
        <v>Merchant_009</v>
      </c>
      <c r="E326" t="str">
        <f>IFERROR(VLOOKUP($C326, merchants!$A$2:$D$41, 4, FALSE), "Merchant not found")</f>
        <v>North</v>
      </c>
      <c r="F326" t="str">
        <f>IFERROR(VLOOKUP($C326, merchants!$A$2:$D$41, 3, FALSE), "Merchant not found")</f>
        <v>ecommerce</v>
      </c>
      <c r="G326" s="1">
        <v>46037.897916666669</v>
      </c>
      <c r="H326" s="4">
        <f t="shared" si="5"/>
        <v>46037</v>
      </c>
      <c r="I326">
        <v>99</v>
      </c>
      <c r="J326" s="2" t="s">
        <v>12</v>
      </c>
      <c r="K326" s="2" t="s">
        <v>10</v>
      </c>
      <c r="L326">
        <v>99</v>
      </c>
      <c r="M326">
        <f>IF(COUNTIFS($D$2:$D326, $D326, $H$2:$H326, $H326)=1, 1, 0)</f>
        <v>0</v>
      </c>
      <c r="N326">
        <f>_xlfn.IFNA(HLOOKUP($J326, fee_reference!$B$1:$E$2, 2, FALSE), 0)</f>
        <v>0</v>
      </c>
    </row>
    <row r="327" spans="1:14" x14ac:dyDescent="0.3">
      <c r="A327" s="2" t="s">
        <v>340</v>
      </c>
      <c r="B327">
        <v>94</v>
      </c>
      <c r="C327">
        <v>9</v>
      </c>
      <c r="D327" t="str">
        <f>IFERROR(VLOOKUP($C327,merchants!$A$2:$D$41,2,FALSE),"Merchant not found")</f>
        <v>Merchant_009</v>
      </c>
      <c r="E327" t="str">
        <f>IFERROR(VLOOKUP($C327, merchants!$A$2:$D$41, 4, FALSE), "Merchant not found")</f>
        <v>North</v>
      </c>
      <c r="F327" t="str">
        <f>IFERROR(VLOOKUP($C327, merchants!$A$2:$D$41, 3, FALSE), "Merchant not found")</f>
        <v>ecommerce</v>
      </c>
      <c r="G327" s="1">
        <v>46040.859027777777</v>
      </c>
      <c r="H327" s="4">
        <f t="shared" si="5"/>
        <v>46040</v>
      </c>
      <c r="I327">
        <v>299</v>
      </c>
      <c r="J327" s="2" t="s">
        <v>12</v>
      </c>
      <c r="K327" s="2" t="s">
        <v>10</v>
      </c>
      <c r="L327">
        <v>55</v>
      </c>
      <c r="M327">
        <f>IF(COUNTIFS($D$2:$D327, $D327, $H$2:$H327, $H327)=1, 1, 0)</f>
        <v>1</v>
      </c>
      <c r="N327">
        <f>_xlfn.IFNA(HLOOKUP($J327, fee_reference!$B$1:$E$2, 2, FALSE), 0)</f>
        <v>0</v>
      </c>
    </row>
    <row r="328" spans="1:14" x14ac:dyDescent="0.3">
      <c r="A328" s="2" t="s">
        <v>341</v>
      </c>
      <c r="B328">
        <v>64</v>
      </c>
      <c r="C328">
        <v>34</v>
      </c>
      <c r="D328" t="str">
        <f>IFERROR(VLOOKUP($C328,merchants!$A$2:$D$41,2,FALSE),"Merchant not found")</f>
        <v>Merchant_034</v>
      </c>
      <c r="E328" t="str">
        <f>IFERROR(VLOOKUP($C328, merchants!$A$2:$D$41, 4, FALSE), "Merchant not found")</f>
        <v>South</v>
      </c>
      <c r="F328" t="str">
        <f>IFERROR(VLOOKUP($C328, merchants!$A$2:$D$41, 3, FALSE), "Merchant not found")</f>
        <v>travel</v>
      </c>
      <c r="G328" s="1">
        <v>46039.078472222223</v>
      </c>
      <c r="H328" s="4">
        <f t="shared" si="5"/>
        <v>46039</v>
      </c>
      <c r="I328">
        <v>299</v>
      </c>
      <c r="J328" s="2" t="s">
        <v>12</v>
      </c>
      <c r="K328" s="2" t="s">
        <v>10</v>
      </c>
      <c r="L328">
        <v>19</v>
      </c>
      <c r="M328">
        <f>IF(COUNTIFS($D$2:$D328, $D328, $H$2:$H328, $H328)=1, 1, 0)</f>
        <v>1</v>
      </c>
      <c r="N328">
        <f>_xlfn.IFNA(HLOOKUP($J328, fee_reference!$B$1:$E$2, 2, FALSE), 0)</f>
        <v>0</v>
      </c>
    </row>
    <row r="329" spans="1:14" x14ac:dyDescent="0.3">
      <c r="A329" s="2" t="s">
        <v>342</v>
      </c>
      <c r="B329">
        <v>166</v>
      </c>
      <c r="C329">
        <v>15</v>
      </c>
      <c r="D329" t="str">
        <f>IFERROR(VLOOKUP($C329,merchants!$A$2:$D$41,2,FALSE),"Merchant not found")</f>
        <v>Merchant_015</v>
      </c>
      <c r="E329" t="str">
        <f>IFERROR(VLOOKUP($C329, merchants!$A$2:$D$41, 4, FALSE), "Merchant not found")</f>
        <v>North</v>
      </c>
      <c r="F329" t="str">
        <f>IFERROR(VLOOKUP($C329, merchants!$A$2:$D$41, 3, FALSE), "Merchant not found")</f>
        <v>travel</v>
      </c>
      <c r="G329" s="1">
        <v>46032.215277777781</v>
      </c>
      <c r="H329" s="4">
        <f t="shared" si="5"/>
        <v>46032</v>
      </c>
      <c r="I329">
        <v>49</v>
      </c>
      <c r="J329" s="2" t="s">
        <v>12</v>
      </c>
      <c r="K329" s="2" t="s">
        <v>10</v>
      </c>
      <c r="L329">
        <v>44</v>
      </c>
      <c r="M329">
        <f>IF(COUNTIFS($D$2:$D329, $D329, $H$2:$H329, $H329)=1, 1, 0)</f>
        <v>1</v>
      </c>
      <c r="N329">
        <f>_xlfn.IFNA(HLOOKUP($J329, fee_reference!$B$1:$E$2, 2, FALSE), 0)</f>
        <v>0</v>
      </c>
    </row>
    <row r="330" spans="1:14" x14ac:dyDescent="0.3">
      <c r="A330" s="2" t="s">
        <v>343</v>
      </c>
      <c r="B330">
        <v>41</v>
      </c>
      <c r="C330">
        <v>17</v>
      </c>
      <c r="D330" t="str">
        <f>IFERROR(VLOOKUP($C330,merchants!$A$2:$D$41,2,FALSE),"Merchant not found")</f>
        <v>Merchant_017</v>
      </c>
      <c r="E330" t="str">
        <f>IFERROR(VLOOKUP($C330, merchants!$A$2:$D$41, 4, FALSE), "Merchant not found")</f>
        <v>North</v>
      </c>
      <c r="F330" t="str">
        <f>IFERROR(VLOOKUP($C330, merchants!$A$2:$D$41, 3, FALSE), "Merchant not found")</f>
        <v>grocery</v>
      </c>
      <c r="G330" s="1">
        <v>46039.412499999999</v>
      </c>
      <c r="H330" s="4">
        <f t="shared" si="5"/>
        <v>46039</v>
      </c>
      <c r="I330">
        <v>299</v>
      </c>
      <c r="J330" s="2" t="s">
        <v>9</v>
      </c>
      <c r="K330" s="2" t="s">
        <v>10</v>
      </c>
      <c r="L330">
        <v>25</v>
      </c>
      <c r="M330">
        <f>IF(COUNTIFS($D$2:$D330, $D330, $H$2:$H330, $H330)=1, 1, 0)</f>
        <v>1</v>
      </c>
      <c r="N330">
        <f>_xlfn.IFNA(HLOOKUP($J330, fee_reference!$B$1:$E$2, 2, FALSE), 0)</f>
        <v>1.4999999999999999E-2</v>
      </c>
    </row>
    <row r="331" spans="1:14" x14ac:dyDescent="0.3">
      <c r="A331" s="2" t="s">
        <v>344</v>
      </c>
      <c r="B331">
        <v>65</v>
      </c>
      <c r="C331">
        <v>20</v>
      </c>
      <c r="D331" t="str">
        <f>IFERROR(VLOOKUP($C331,merchants!$A$2:$D$41,2,FALSE),"Merchant not found")</f>
        <v>Merchant_020</v>
      </c>
      <c r="E331" t="str">
        <f>IFERROR(VLOOKUP($C331, merchants!$A$2:$D$41, 4, FALSE), "Merchant not found")</f>
        <v>East</v>
      </c>
      <c r="F331" t="str">
        <f>IFERROR(VLOOKUP($C331, merchants!$A$2:$D$41, 3, FALSE), "Merchant not found")</f>
        <v>food_delivery</v>
      </c>
      <c r="G331" s="1">
        <v>46043.720138888886</v>
      </c>
      <c r="H331" s="4">
        <f t="shared" si="5"/>
        <v>46043</v>
      </c>
      <c r="I331">
        <v>99</v>
      </c>
      <c r="J331" s="2" t="s">
        <v>24</v>
      </c>
      <c r="K331" s="2" t="s">
        <v>10</v>
      </c>
      <c r="L331">
        <v>78</v>
      </c>
      <c r="M331">
        <f>IF(COUNTIFS($D$2:$D331, $D331, $H$2:$H331, $H331)=1, 1, 0)</f>
        <v>1</v>
      </c>
      <c r="N331">
        <f>_xlfn.IFNA(HLOOKUP($J331, fee_reference!$B$1:$E$2, 2, FALSE), 0)</f>
        <v>2.5000000000000001E-2</v>
      </c>
    </row>
    <row r="332" spans="1:14" x14ac:dyDescent="0.3">
      <c r="A332" s="2" t="s">
        <v>345</v>
      </c>
      <c r="B332">
        <v>329</v>
      </c>
      <c r="C332">
        <v>11</v>
      </c>
      <c r="D332" t="str">
        <f>IFERROR(VLOOKUP($C332,merchants!$A$2:$D$41,2,FALSE),"Merchant not found")</f>
        <v>Merchant_011</v>
      </c>
      <c r="E332" t="str">
        <f>IFERROR(VLOOKUP($C332, merchants!$A$2:$D$41, 4, FALSE), "Merchant not found")</f>
        <v>North</v>
      </c>
      <c r="F332" t="str">
        <f>IFERROR(VLOOKUP($C332, merchants!$A$2:$D$41, 3, FALSE), "Merchant not found")</f>
        <v>ecommerce</v>
      </c>
      <c r="G332" s="1">
        <v>46040.105555555558</v>
      </c>
      <c r="H332" s="4">
        <f t="shared" si="5"/>
        <v>46040</v>
      </c>
      <c r="I332">
        <v>499</v>
      </c>
      <c r="J332" s="2" t="s">
        <v>12</v>
      </c>
      <c r="K332" s="2" t="s">
        <v>10</v>
      </c>
      <c r="L332">
        <v>75</v>
      </c>
      <c r="M332">
        <f>IF(COUNTIFS($D$2:$D332, $D332, $H$2:$H332, $H332)=1, 1, 0)</f>
        <v>1</v>
      </c>
      <c r="N332">
        <f>_xlfn.IFNA(HLOOKUP($J332, fee_reference!$B$1:$E$2, 2, FALSE), 0)</f>
        <v>0</v>
      </c>
    </row>
    <row r="333" spans="1:14" x14ac:dyDescent="0.3">
      <c r="A333" s="2" t="s">
        <v>346</v>
      </c>
      <c r="B333">
        <v>338</v>
      </c>
      <c r="C333">
        <v>40</v>
      </c>
      <c r="D333" t="str">
        <f>IFERROR(VLOOKUP($C333,merchants!$A$2:$D$41,2,FALSE),"Merchant not found")</f>
        <v>Merchant_040</v>
      </c>
      <c r="E333" t="str">
        <f>IFERROR(VLOOKUP($C333, merchants!$A$2:$D$41, 4, FALSE), "Merchant not found")</f>
        <v>South</v>
      </c>
      <c r="F333" t="str">
        <f>IFERROR(VLOOKUP($C333, merchants!$A$2:$D$41, 3, FALSE), "Merchant not found")</f>
        <v>entertainment</v>
      </c>
      <c r="G333" s="1">
        <v>46041.173611111109</v>
      </c>
      <c r="H333" s="4">
        <f t="shared" si="5"/>
        <v>46041</v>
      </c>
      <c r="I333">
        <v>149</v>
      </c>
      <c r="J333" s="2" t="s">
        <v>12</v>
      </c>
      <c r="K333" s="2" t="s">
        <v>10</v>
      </c>
      <c r="L333">
        <v>92</v>
      </c>
      <c r="M333">
        <f>IF(COUNTIFS($D$2:$D333, $D333, $H$2:$H333, $H333)=1, 1, 0)</f>
        <v>1</v>
      </c>
      <c r="N333">
        <f>_xlfn.IFNA(HLOOKUP($J333, fee_reference!$B$1:$E$2, 2, FALSE), 0)</f>
        <v>0</v>
      </c>
    </row>
    <row r="334" spans="1:14" x14ac:dyDescent="0.3">
      <c r="A334" s="2" t="s">
        <v>347</v>
      </c>
      <c r="B334">
        <v>289</v>
      </c>
      <c r="C334">
        <v>3</v>
      </c>
      <c r="D334" t="str">
        <f>IFERROR(VLOOKUP($C334,merchants!$A$2:$D$41,2,FALSE),"Merchant not found")</f>
        <v>Merchant_003</v>
      </c>
      <c r="E334" t="str">
        <f>IFERROR(VLOOKUP($C334, merchants!$A$2:$D$41, 4, FALSE), "Merchant not found")</f>
        <v>East</v>
      </c>
      <c r="F334" t="str">
        <f>IFERROR(VLOOKUP($C334, merchants!$A$2:$D$41, 3, FALSE), "Merchant not found")</f>
        <v>grocery</v>
      </c>
      <c r="G334" s="1">
        <v>46051.806250000001</v>
      </c>
      <c r="H334" s="4">
        <f t="shared" si="5"/>
        <v>46051</v>
      </c>
      <c r="I334">
        <v>49</v>
      </c>
      <c r="J334" s="2" t="s">
        <v>15</v>
      </c>
      <c r="K334" s="2" t="s">
        <v>10</v>
      </c>
      <c r="L334">
        <v>3</v>
      </c>
      <c r="M334">
        <f>IF(COUNTIFS($D$2:$D334, $D334, $H$2:$H334, $H334)=1, 1, 0)</f>
        <v>1</v>
      </c>
      <c r="N334">
        <f>_xlfn.IFNA(HLOOKUP($J334, fee_reference!$B$1:$E$2, 2, FALSE), 0)</f>
        <v>0.01</v>
      </c>
    </row>
    <row r="335" spans="1:14" x14ac:dyDescent="0.3">
      <c r="A335" s="2" t="s">
        <v>348</v>
      </c>
      <c r="B335">
        <v>296</v>
      </c>
      <c r="C335">
        <v>17</v>
      </c>
      <c r="D335" t="str">
        <f>IFERROR(VLOOKUP($C335,merchants!$A$2:$D$41,2,FALSE),"Merchant not found")</f>
        <v>Merchant_017</v>
      </c>
      <c r="E335" t="str">
        <f>IFERROR(VLOOKUP($C335, merchants!$A$2:$D$41, 4, FALSE), "Merchant not found")</f>
        <v>North</v>
      </c>
      <c r="F335" t="str">
        <f>IFERROR(VLOOKUP($C335, merchants!$A$2:$D$41, 3, FALSE), "Merchant not found")</f>
        <v>grocery</v>
      </c>
      <c r="G335" s="1">
        <v>46025.070138888892</v>
      </c>
      <c r="H335" s="4">
        <f t="shared" si="5"/>
        <v>46025</v>
      </c>
      <c r="I335">
        <v>99</v>
      </c>
      <c r="J335" s="2" t="s">
        <v>12</v>
      </c>
      <c r="K335" s="2" t="s">
        <v>10</v>
      </c>
      <c r="L335">
        <v>83</v>
      </c>
      <c r="M335">
        <f>IF(COUNTIFS($D$2:$D335, $D335, $H$2:$H335, $H335)=1, 1, 0)</f>
        <v>1</v>
      </c>
      <c r="N335">
        <f>_xlfn.IFNA(HLOOKUP($J335, fee_reference!$B$1:$E$2, 2, FALSE), 0)</f>
        <v>0</v>
      </c>
    </row>
    <row r="336" spans="1:14" x14ac:dyDescent="0.3">
      <c r="A336" s="2" t="s">
        <v>349</v>
      </c>
      <c r="B336">
        <v>317</v>
      </c>
      <c r="C336">
        <v>2</v>
      </c>
      <c r="D336" t="str">
        <f>IFERROR(VLOOKUP($C336,merchants!$A$2:$D$41,2,FALSE),"Merchant not found")</f>
        <v>Merchant_002</v>
      </c>
      <c r="E336" t="str">
        <f>IFERROR(VLOOKUP($C336, merchants!$A$2:$D$41, 4, FALSE), "Merchant not found")</f>
        <v>West</v>
      </c>
      <c r="F336" t="str">
        <f>IFERROR(VLOOKUP($C336, merchants!$A$2:$D$41, 3, FALSE), "Merchant not found")</f>
        <v>grocery</v>
      </c>
      <c r="G336" s="1">
        <v>46029.768055555556</v>
      </c>
      <c r="H336" s="4">
        <f t="shared" si="5"/>
        <v>46029</v>
      </c>
      <c r="I336">
        <v>499</v>
      </c>
      <c r="J336" s="2" t="s">
        <v>24</v>
      </c>
      <c r="K336" s="2" t="s">
        <v>10</v>
      </c>
      <c r="L336">
        <v>63</v>
      </c>
      <c r="M336">
        <f>IF(COUNTIFS($D$2:$D336, $D336, $H$2:$H336, $H336)=1, 1, 0)</f>
        <v>1</v>
      </c>
      <c r="N336">
        <f>_xlfn.IFNA(HLOOKUP($J336, fee_reference!$B$1:$E$2, 2, FALSE), 0)</f>
        <v>2.5000000000000001E-2</v>
      </c>
    </row>
    <row r="337" spans="1:14" x14ac:dyDescent="0.3">
      <c r="A337" s="2" t="s">
        <v>350</v>
      </c>
      <c r="B337">
        <v>149</v>
      </c>
      <c r="C337">
        <v>20</v>
      </c>
      <c r="D337" t="str">
        <f>IFERROR(VLOOKUP($C337,merchants!$A$2:$D$41,2,FALSE),"Merchant not found")</f>
        <v>Merchant_020</v>
      </c>
      <c r="E337" t="str">
        <f>IFERROR(VLOOKUP($C337, merchants!$A$2:$D$41, 4, FALSE), "Merchant not found")</f>
        <v>East</v>
      </c>
      <c r="F337" t="str">
        <f>IFERROR(VLOOKUP($C337, merchants!$A$2:$D$41, 3, FALSE), "Merchant not found")</f>
        <v>food_delivery</v>
      </c>
      <c r="G337" s="1">
        <v>46051.856944444444</v>
      </c>
      <c r="H337" s="4">
        <f t="shared" si="5"/>
        <v>46051</v>
      </c>
      <c r="I337">
        <v>499</v>
      </c>
      <c r="J337" s="2" t="s">
        <v>24</v>
      </c>
      <c r="K337" s="2" t="s">
        <v>10</v>
      </c>
      <c r="L337">
        <v>61</v>
      </c>
      <c r="M337">
        <f>IF(COUNTIFS($D$2:$D337, $D337, $H$2:$H337, $H337)=1, 1, 0)</f>
        <v>1</v>
      </c>
      <c r="N337">
        <f>_xlfn.IFNA(HLOOKUP($J337, fee_reference!$B$1:$E$2, 2, FALSE), 0)</f>
        <v>2.5000000000000001E-2</v>
      </c>
    </row>
    <row r="338" spans="1:14" x14ac:dyDescent="0.3">
      <c r="A338" s="2" t="s">
        <v>351</v>
      </c>
      <c r="B338">
        <v>153</v>
      </c>
      <c r="C338">
        <v>30</v>
      </c>
      <c r="D338" t="str">
        <f>IFERROR(VLOOKUP($C338,merchants!$A$2:$D$41,2,FALSE),"Merchant not found")</f>
        <v>Merchant_030</v>
      </c>
      <c r="E338" t="str">
        <f>IFERROR(VLOOKUP($C338, merchants!$A$2:$D$41, 4, FALSE), "Merchant not found")</f>
        <v>West</v>
      </c>
      <c r="F338" t="str">
        <f>IFERROR(VLOOKUP($C338, merchants!$A$2:$D$41, 3, FALSE), "Merchant not found")</f>
        <v>travel</v>
      </c>
      <c r="G338" s="1">
        <v>46030.892361111109</v>
      </c>
      <c r="H338" s="4">
        <f t="shared" si="5"/>
        <v>46030</v>
      </c>
      <c r="I338">
        <v>299</v>
      </c>
      <c r="J338" s="2" t="s">
        <v>12</v>
      </c>
      <c r="K338" s="2" t="s">
        <v>10</v>
      </c>
      <c r="L338">
        <v>9</v>
      </c>
      <c r="M338">
        <f>IF(COUNTIFS($D$2:$D338, $D338, $H$2:$H338, $H338)=1, 1, 0)</f>
        <v>0</v>
      </c>
      <c r="N338">
        <f>_xlfn.IFNA(HLOOKUP($J338, fee_reference!$B$1:$E$2, 2, FALSE), 0)</f>
        <v>0</v>
      </c>
    </row>
    <row r="339" spans="1:14" x14ac:dyDescent="0.3">
      <c r="A339" s="2" t="s">
        <v>352</v>
      </c>
      <c r="B339">
        <v>226</v>
      </c>
      <c r="C339">
        <v>27</v>
      </c>
      <c r="D339" t="str">
        <f>IFERROR(VLOOKUP($C339,merchants!$A$2:$D$41,2,FALSE),"Merchant not found")</f>
        <v>Merchant_027</v>
      </c>
      <c r="E339" t="str">
        <f>IFERROR(VLOOKUP($C339, merchants!$A$2:$D$41, 4, FALSE), "Merchant not found")</f>
        <v>North</v>
      </c>
      <c r="F339" t="str">
        <f>IFERROR(VLOOKUP($C339, merchants!$A$2:$D$41, 3, FALSE), "Merchant not found")</f>
        <v>ecommerce</v>
      </c>
      <c r="G339" s="1">
        <v>46045.048611111109</v>
      </c>
      <c r="H339" s="4">
        <f t="shared" si="5"/>
        <v>46045</v>
      </c>
      <c r="I339">
        <v>2999</v>
      </c>
      <c r="J339" s="2" t="s">
        <v>12</v>
      </c>
      <c r="K339" s="2" t="s">
        <v>38</v>
      </c>
      <c r="L339">
        <v>61</v>
      </c>
      <c r="M339">
        <f>IF(COUNTIFS($D$2:$D339, $D339, $H$2:$H339, $H339)=1, 1, 0)</f>
        <v>1</v>
      </c>
      <c r="N339">
        <f>_xlfn.IFNA(HLOOKUP($J339, fee_reference!$B$1:$E$2, 2, FALSE), 0)</f>
        <v>0</v>
      </c>
    </row>
    <row r="340" spans="1:14" x14ac:dyDescent="0.3">
      <c r="A340" s="2" t="s">
        <v>353</v>
      </c>
      <c r="B340">
        <v>311</v>
      </c>
      <c r="C340">
        <v>10</v>
      </c>
      <c r="D340" t="str">
        <f>IFERROR(VLOOKUP($C340,merchants!$A$2:$D$41,2,FALSE),"Merchant not found")</f>
        <v>Merchant_010</v>
      </c>
      <c r="E340" t="str">
        <f>IFERROR(VLOOKUP($C340, merchants!$A$2:$D$41, 4, FALSE), "Merchant not found")</f>
        <v>West</v>
      </c>
      <c r="F340" t="str">
        <f>IFERROR(VLOOKUP($C340, merchants!$A$2:$D$41, 3, FALSE), "Merchant not found")</f>
        <v>grocery</v>
      </c>
      <c r="G340" s="1">
        <v>46037.26458333333</v>
      </c>
      <c r="H340" s="4">
        <f t="shared" si="5"/>
        <v>46037</v>
      </c>
      <c r="I340">
        <v>2999</v>
      </c>
      <c r="J340" s="2" t="s">
        <v>12</v>
      </c>
      <c r="K340" s="2" t="s">
        <v>10</v>
      </c>
      <c r="L340">
        <v>40</v>
      </c>
      <c r="M340">
        <f>IF(COUNTIFS($D$2:$D340, $D340, $H$2:$H340, $H340)=1, 1, 0)</f>
        <v>1</v>
      </c>
      <c r="N340">
        <f>_xlfn.IFNA(HLOOKUP($J340, fee_reference!$B$1:$E$2, 2, FALSE), 0)</f>
        <v>0</v>
      </c>
    </row>
    <row r="341" spans="1:14" x14ac:dyDescent="0.3">
      <c r="A341" s="2" t="s">
        <v>354</v>
      </c>
      <c r="B341">
        <v>177</v>
      </c>
      <c r="C341">
        <v>26</v>
      </c>
      <c r="D341" t="str">
        <f>IFERROR(VLOOKUP($C341,merchants!$A$2:$D$41,2,FALSE),"Merchant not found")</f>
        <v>Merchant_026</v>
      </c>
      <c r="E341" t="str">
        <f>IFERROR(VLOOKUP($C341, merchants!$A$2:$D$41, 4, FALSE), "Merchant not found")</f>
        <v>East</v>
      </c>
      <c r="F341" t="str">
        <f>IFERROR(VLOOKUP($C341, merchants!$A$2:$D$41, 3, FALSE), "Merchant not found")</f>
        <v>food_delivery</v>
      </c>
      <c r="G341" s="1">
        <v>46050.930555555555</v>
      </c>
      <c r="H341" s="4">
        <f t="shared" si="5"/>
        <v>46050</v>
      </c>
      <c r="I341">
        <v>1499</v>
      </c>
      <c r="J341" s="2" t="s">
        <v>12</v>
      </c>
      <c r="K341" s="2" t="s">
        <v>10</v>
      </c>
      <c r="L341">
        <v>16</v>
      </c>
      <c r="M341">
        <f>IF(COUNTIFS($D$2:$D341, $D341, $H$2:$H341, $H341)=1, 1, 0)</f>
        <v>1</v>
      </c>
      <c r="N341">
        <f>_xlfn.IFNA(HLOOKUP($J341, fee_reference!$B$1:$E$2, 2, FALSE), 0)</f>
        <v>0</v>
      </c>
    </row>
    <row r="342" spans="1:14" x14ac:dyDescent="0.3">
      <c r="A342" s="2" t="s">
        <v>355</v>
      </c>
      <c r="B342">
        <v>288</v>
      </c>
      <c r="C342">
        <v>7</v>
      </c>
      <c r="D342" t="str">
        <f>IFERROR(VLOOKUP($C342,merchants!$A$2:$D$41,2,FALSE),"Merchant not found")</f>
        <v>Merchant_007</v>
      </c>
      <c r="E342" t="str">
        <f>IFERROR(VLOOKUP($C342, merchants!$A$2:$D$41, 4, FALSE), "Merchant not found")</f>
        <v>East</v>
      </c>
      <c r="F342" t="str">
        <f>IFERROR(VLOOKUP($C342, merchants!$A$2:$D$41, 3, FALSE), "Merchant not found")</f>
        <v>food_delivery</v>
      </c>
      <c r="G342" s="1">
        <v>46047.480555555558</v>
      </c>
      <c r="H342" s="4">
        <f t="shared" si="5"/>
        <v>46047</v>
      </c>
      <c r="I342">
        <v>99</v>
      </c>
      <c r="J342" s="2" t="s">
        <v>15</v>
      </c>
      <c r="K342" s="2" t="s">
        <v>10</v>
      </c>
      <c r="L342">
        <v>40</v>
      </c>
      <c r="M342">
        <f>IF(COUNTIFS($D$2:$D342, $D342, $H$2:$H342, $H342)=1, 1, 0)</f>
        <v>1</v>
      </c>
      <c r="N342">
        <f>_xlfn.IFNA(HLOOKUP($J342, fee_reference!$B$1:$E$2, 2, FALSE), 0)</f>
        <v>0.01</v>
      </c>
    </row>
    <row r="343" spans="1:14" x14ac:dyDescent="0.3">
      <c r="A343" s="2" t="s">
        <v>356</v>
      </c>
      <c r="B343">
        <v>137</v>
      </c>
      <c r="C343">
        <v>29</v>
      </c>
      <c r="D343" t="str">
        <f>IFERROR(VLOOKUP($C343,merchants!$A$2:$D$41,2,FALSE),"Merchant not found")</f>
        <v>Merchant_029</v>
      </c>
      <c r="E343" t="str">
        <f>IFERROR(VLOOKUP($C343, merchants!$A$2:$D$41, 4, FALSE), "Merchant not found")</f>
        <v>North</v>
      </c>
      <c r="F343" t="str">
        <f>IFERROR(VLOOKUP($C343, merchants!$A$2:$D$41, 3, FALSE), "Merchant not found")</f>
        <v>ecommerce</v>
      </c>
      <c r="G343" s="1">
        <v>46030.588194444441</v>
      </c>
      <c r="H343" s="4">
        <f t="shared" si="5"/>
        <v>46030</v>
      </c>
      <c r="I343">
        <v>2999</v>
      </c>
      <c r="J343" s="2" t="s">
        <v>12</v>
      </c>
      <c r="K343" s="2" t="s">
        <v>25</v>
      </c>
      <c r="L343">
        <v>31</v>
      </c>
      <c r="M343">
        <f>IF(COUNTIFS($D$2:$D343, $D343, $H$2:$H343, $H343)=1, 1, 0)</f>
        <v>1</v>
      </c>
      <c r="N343">
        <f>_xlfn.IFNA(HLOOKUP($J343, fee_reference!$B$1:$E$2, 2, FALSE), 0)</f>
        <v>0</v>
      </c>
    </row>
    <row r="344" spans="1:14" x14ac:dyDescent="0.3">
      <c r="A344" s="2" t="s">
        <v>357</v>
      </c>
      <c r="B344">
        <v>149</v>
      </c>
      <c r="C344">
        <v>25</v>
      </c>
      <c r="D344" t="str">
        <f>IFERROR(VLOOKUP($C344,merchants!$A$2:$D$41,2,FALSE),"Merchant not found")</f>
        <v>Merchant_025</v>
      </c>
      <c r="E344" t="str">
        <f>IFERROR(VLOOKUP($C344, merchants!$A$2:$D$41, 4, FALSE), "Merchant not found")</f>
        <v>South</v>
      </c>
      <c r="F344" t="str">
        <f>IFERROR(VLOOKUP($C344, merchants!$A$2:$D$41, 3, FALSE), "Merchant not found")</f>
        <v>travel</v>
      </c>
      <c r="G344" s="1">
        <v>46027.127083333333</v>
      </c>
      <c r="H344" s="4">
        <f t="shared" si="5"/>
        <v>46027</v>
      </c>
      <c r="I344">
        <v>1499</v>
      </c>
      <c r="J344" s="2" t="s">
        <v>12</v>
      </c>
      <c r="K344" s="2" t="s">
        <v>10</v>
      </c>
      <c r="L344">
        <v>78</v>
      </c>
      <c r="M344">
        <f>IF(COUNTIFS($D$2:$D344, $D344, $H$2:$H344, $H344)=1, 1, 0)</f>
        <v>0</v>
      </c>
      <c r="N344">
        <f>_xlfn.IFNA(HLOOKUP($J344, fee_reference!$B$1:$E$2, 2, FALSE), 0)</f>
        <v>0</v>
      </c>
    </row>
    <row r="345" spans="1:14" x14ac:dyDescent="0.3">
      <c r="A345" s="2" t="s">
        <v>358</v>
      </c>
      <c r="B345">
        <v>82</v>
      </c>
      <c r="C345">
        <v>21</v>
      </c>
      <c r="D345" t="str">
        <f>IFERROR(VLOOKUP($C345,merchants!$A$2:$D$41,2,FALSE),"Merchant not found")</f>
        <v>Merchant_021</v>
      </c>
      <c r="E345" t="str">
        <f>IFERROR(VLOOKUP($C345, merchants!$A$2:$D$41, 4, FALSE), "Merchant not found")</f>
        <v>East</v>
      </c>
      <c r="F345" t="str">
        <f>IFERROR(VLOOKUP($C345, merchants!$A$2:$D$41, 3, FALSE), "Merchant not found")</f>
        <v>food_delivery</v>
      </c>
      <c r="G345" s="1">
        <v>46036.329861111109</v>
      </c>
      <c r="H345" s="4">
        <f t="shared" si="5"/>
        <v>46036</v>
      </c>
      <c r="I345">
        <v>49</v>
      </c>
      <c r="J345" s="2" t="s">
        <v>9</v>
      </c>
      <c r="K345" s="2" t="s">
        <v>10</v>
      </c>
      <c r="L345">
        <v>73</v>
      </c>
      <c r="M345">
        <f>IF(COUNTIFS($D$2:$D345, $D345, $H$2:$H345, $H345)=1, 1, 0)</f>
        <v>1</v>
      </c>
      <c r="N345">
        <f>_xlfn.IFNA(HLOOKUP($J345, fee_reference!$B$1:$E$2, 2, FALSE), 0)</f>
        <v>1.4999999999999999E-2</v>
      </c>
    </row>
    <row r="346" spans="1:14" x14ac:dyDescent="0.3">
      <c r="A346" s="2" t="s">
        <v>359</v>
      </c>
      <c r="B346">
        <v>82</v>
      </c>
      <c r="C346">
        <v>32</v>
      </c>
      <c r="D346" t="str">
        <f>IFERROR(VLOOKUP($C346,merchants!$A$2:$D$41,2,FALSE),"Merchant not found")</f>
        <v>Merchant_032</v>
      </c>
      <c r="E346" t="str">
        <f>IFERROR(VLOOKUP($C346, merchants!$A$2:$D$41, 4, FALSE), "Merchant not found")</f>
        <v>West</v>
      </c>
      <c r="F346" t="str">
        <f>IFERROR(VLOOKUP($C346, merchants!$A$2:$D$41, 3, FALSE), "Merchant not found")</f>
        <v>food_delivery</v>
      </c>
      <c r="G346" s="1">
        <v>46046.425000000003</v>
      </c>
      <c r="H346" s="4">
        <f t="shared" si="5"/>
        <v>46046</v>
      </c>
      <c r="I346">
        <v>49</v>
      </c>
      <c r="J346" s="2" t="s">
        <v>12</v>
      </c>
      <c r="K346" s="2" t="s">
        <v>10</v>
      </c>
      <c r="L346">
        <v>65</v>
      </c>
      <c r="M346">
        <f>IF(COUNTIFS($D$2:$D346, $D346, $H$2:$H346, $H346)=1, 1, 0)</f>
        <v>1</v>
      </c>
      <c r="N346">
        <f>_xlfn.IFNA(HLOOKUP($J346, fee_reference!$B$1:$E$2, 2, FALSE), 0)</f>
        <v>0</v>
      </c>
    </row>
    <row r="347" spans="1:14" x14ac:dyDescent="0.3">
      <c r="A347" s="2" t="s">
        <v>360</v>
      </c>
      <c r="B347">
        <v>158</v>
      </c>
      <c r="C347">
        <v>32</v>
      </c>
      <c r="D347" t="str">
        <f>IFERROR(VLOOKUP($C347,merchants!$A$2:$D$41,2,FALSE),"Merchant not found")</f>
        <v>Merchant_032</v>
      </c>
      <c r="E347" t="str">
        <f>IFERROR(VLOOKUP($C347, merchants!$A$2:$D$41, 4, FALSE), "Merchant not found")</f>
        <v>West</v>
      </c>
      <c r="F347" t="str">
        <f>IFERROR(VLOOKUP($C347, merchants!$A$2:$D$41, 3, FALSE), "Merchant not found")</f>
        <v>food_delivery</v>
      </c>
      <c r="G347" s="1">
        <v>46037.663888888892</v>
      </c>
      <c r="H347" s="4">
        <f t="shared" si="5"/>
        <v>46037</v>
      </c>
      <c r="I347">
        <v>99</v>
      </c>
      <c r="J347" s="2" t="s">
        <v>9</v>
      </c>
      <c r="K347" s="2" t="s">
        <v>10</v>
      </c>
      <c r="L347">
        <v>2</v>
      </c>
      <c r="M347">
        <f>IF(COUNTIFS($D$2:$D347, $D347, $H$2:$H347, $H347)=1, 1, 0)</f>
        <v>1</v>
      </c>
      <c r="N347">
        <f>_xlfn.IFNA(HLOOKUP($J347, fee_reference!$B$1:$E$2, 2, FALSE), 0)</f>
        <v>1.4999999999999999E-2</v>
      </c>
    </row>
    <row r="348" spans="1:14" x14ac:dyDescent="0.3">
      <c r="A348" s="2" t="s">
        <v>361</v>
      </c>
      <c r="B348">
        <v>235</v>
      </c>
      <c r="C348">
        <v>16</v>
      </c>
      <c r="D348" t="str">
        <f>IFERROR(VLOOKUP($C348,merchants!$A$2:$D$41,2,FALSE),"Merchant not found")</f>
        <v>Merchant_016</v>
      </c>
      <c r="E348" t="str">
        <f>IFERROR(VLOOKUP($C348, merchants!$A$2:$D$41, 4, FALSE), "Merchant not found")</f>
        <v>West</v>
      </c>
      <c r="F348" t="str">
        <f>IFERROR(VLOOKUP($C348, merchants!$A$2:$D$41, 3, FALSE), "Merchant not found")</f>
        <v>bill_payment</v>
      </c>
      <c r="G348" s="1">
        <v>46025.522222222222</v>
      </c>
      <c r="H348" s="4">
        <f t="shared" si="5"/>
        <v>46025</v>
      </c>
      <c r="I348">
        <v>99</v>
      </c>
      <c r="J348" s="2" t="s">
        <v>12</v>
      </c>
      <c r="K348" s="2" t="s">
        <v>10</v>
      </c>
      <c r="L348">
        <v>27</v>
      </c>
      <c r="M348">
        <f>IF(COUNTIFS($D$2:$D348, $D348, $H$2:$H348, $H348)=1, 1, 0)</f>
        <v>1</v>
      </c>
      <c r="N348">
        <f>_xlfn.IFNA(HLOOKUP($J348, fee_reference!$B$1:$E$2, 2, FALSE), 0)</f>
        <v>0</v>
      </c>
    </row>
    <row r="349" spans="1:14" x14ac:dyDescent="0.3">
      <c r="A349" s="2" t="s">
        <v>362</v>
      </c>
      <c r="B349">
        <v>26</v>
      </c>
      <c r="C349">
        <v>19</v>
      </c>
      <c r="D349" t="str">
        <f>IFERROR(VLOOKUP($C349,merchants!$A$2:$D$41,2,FALSE),"Merchant not found")</f>
        <v>Merchant_019</v>
      </c>
      <c r="E349" t="str">
        <f>IFERROR(VLOOKUP($C349, merchants!$A$2:$D$41, 4, FALSE), "Merchant not found")</f>
        <v>North</v>
      </c>
      <c r="F349" t="str">
        <f>IFERROR(VLOOKUP($C349, merchants!$A$2:$D$41, 3, FALSE), "Merchant not found")</f>
        <v>grocery</v>
      </c>
      <c r="G349" s="1">
        <v>46041.460416666669</v>
      </c>
      <c r="H349" s="4">
        <f t="shared" si="5"/>
        <v>46041</v>
      </c>
      <c r="I349">
        <v>99</v>
      </c>
      <c r="J349" s="2" t="s">
        <v>9</v>
      </c>
      <c r="K349" s="2" t="s">
        <v>10</v>
      </c>
      <c r="L349">
        <v>63</v>
      </c>
      <c r="M349">
        <f>IF(COUNTIFS($D$2:$D349, $D349, $H$2:$H349, $H349)=1, 1, 0)</f>
        <v>1</v>
      </c>
      <c r="N349">
        <f>_xlfn.IFNA(HLOOKUP($J349, fee_reference!$B$1:$E$2, 2, FALSE), 0)</f>
        <v>1.4999999999999999E-2</v>
      </c>
    </row>
    <row r="350" spans="1:14" x14ac:dyDescent="0.3">
      <c r="A350" s="2" t="s">
        <v>363</v>
      </c>
      <c r="B350">
        <v>241</v>
      </c>
      <c r="C350">
        <v>19</v>
      </c>
      <c r="D350" t="str">
        <f>IFERROR(VLOOKUP($C350,merchants!$A$2:$D$41,2,FALSE),"Merchant not found")</f>
        <v>Merchant_019</v>
      </c>
      <c r="E350" t="str">
        <f>IFERROR(VLOOKUP($C350, merchants!$A$2:$D$41, 4, FALSE), "Merchant not found")</f>
        <v>North</v>
      </c>
      <c r="F350" t="str">
        <f>IFERROR(VLOOKUP($C350, merchants!$A$2:$D$41, 3, FALSE), "Merchant not found")</f>
        <v>grocery</v>
      </c>
      <c r="G350" s="1">
        <v>46042.863194444442</v>
      </c>
      <c r="H350" s="4">
        <f t="shared" si="5"/>
        <v>46042</v>
      </c>
      <c r="I350">
        <v>299</v>
      </c>
      <c r="J350" s="2" t="s">
        <v>12</v>
      </c>
      <c r="K350" s="2" t="s">
        <v>10</v>
      </c>
      <c r="L350">
        <v>68</v>
      </c>
      <c r="M350">
        <f>IF(COUNTIFS($D$2:$D350, $D350, $H$2:$H350, $H350)=1, 1, 0)</f>
        <v>0</v>
      </c>
      <c r="N350">
        <f>_xlfn.IFNA(HLOOKUP($J350, fee_reference!$B$1:$E$2, 2, FALSE), 0)</f>
        <v>0</v>
      </c>
    </row>
    <row r="351" spans="1:14" x14ac:dyDescent="0.3">
      <c r="A351" s="2" t="s">
        <v>364</v>
      </c>
      <c r="B351">
        <v>69</v>
      </c>
      <c r="C351">
        <v>17</v>
      </c>
      <c r="D351" t="str">
        <f>IFERROR(VLOOKUP($C351,merchants!$A$2:$D$41,2,FALSE),"Merchant not found")</f>
        <v>Merchant_017</v>
      </c>
      <c r="E351" t="str">
        <f>IFERROR(VLOOKUP($C351, merchants!$A$2:$D$41, 4, FALSE), "Merchant not found")</f>
        <v>North</v>
      </c>
      <c r="F351" t="str">
        <f>IFERROR(VLOOKUP($C351, merchants!$A$2:$D$41, 3, FALSE), "Merchant not found")</f>
        <v>grocery</v>
      </c>
      <c r="G351" s="1">
        <v>46023.143750000003</v>
      </c>
      <c r="H351" s="4">
        <f t="shared" si="5"/>
        <v>46023</v>
      </c>
      <c r="I351">
        <v>1499</v>
      </c>
      <c r="J351" s="2" t="s">
        <v>12</v>
      </c>
      <c r="K351" s="2" t="s">
        <v>10</v>
      </c>
      <c r="L351">
        <v>93</v>
      </c>
      <c r="M351">
        <f>IF(COUNTIFS($D$2:$D351, $D351, $H$2:$H351, $H351)=1, 1, 0)</f>
        <v>1</v>
      </c>
      <c r="N351">
        <f>_xlfn.IFNA(HLOOKUP($J351, fee_reference!$B$1:$E$2, 2, FALSE), 0)</f>
        <v>0</v>
      </c>
    </row>
    <row r="352" spans="1:14" x14ac:dyDescent="0.3">
      <c r="A352" s="2" t="s">
        <v>365</v>
      </c>
      <c r="B352">
        <v>24</v>
      </c>
      <c r="C352">
        <v>26</v>
      </c>
      <c r="D352" t="str">
        <f>IFERROR(VLOOKUP($C352,merchants!$A$2:$D$41,2,FALSE),"Merchant not found")</f>
        <v>Merchant_026</v>
      </c>
      <c r="E352" t="str">
        <f>IFERROR(VLOOKUP($C352, merchants!$A$2:$D$41, 4, FALSE), "Merchant not found")</f>
        <v>East</v>
      </c>
      <c r="F352" t="str">
        <f>IFERROR(VLOOKUP($C352, merchants!$A$2:$D$41, 3, FALSE), "Merchant not found")</f>
        <v>food_delivery</v>
      </c>
      <c r="G352" s="1">
        <v>46034.515972222223</v>
      </c>
      <c r="H352" s="4">
        <f t="shared" si="5"/>
        <v>46034</v>
      </c>
      <c r="I352">
        <v>299</v>
      </c>
      <c r="J352" s="2" t="s">
        <v>15</v>
      </c>
      <c r="K352" s="2" t="s">
        <v>10</v>
      </c>
      <c r="L352">
        <v>6</v>
      </c>
      <c r="M352">
        <f>IF(COUNTIFS($D$2:$D352, $D352, $H$2:$H352, $H352)=1, 1, 0)</f>
        <v>1</v>
      </c>
      <c r="N352">
        <f>_xlfn.IFNA(HLOOKUP($J352, fee_reference!$B$1:$E$2, 2, FALSE), 0)</f>
        <v>0.01</v>
      </c>
    </row>
    <row r="353" spans="1:14" x14ac:dyDescent="0.3">
      <c r="A353" s="2" t="s">
        <v>366</v>
      </c>
      <c r="B353">
        <v>186</v>
      </c>
      <c r="C353">
        <v>36</v>
      </c>
      <c r="D353" t="str">
        <f>IFERROR(VLOOKUP($C353,merchants!$A$2:$D$41,2,FALSE),"Merchant not found")</f>
        <v>Merchant_036</v>
      </c>
      <c r="E353" t="str">
        <f>IFERROR(VLOOKUP($C353, merchants!$A$2:$D$41, 4, FALSE), "Merchant not found")</f>
        <v>East</v>
      </c>
      <c r="F353" t="str">
        <f>IFERROR(VLOOKUP($C353, merchants!$A$2:$D$41, 3, FALSE), "Merchant not found")</f>
        <v>entertainment</v>
      </c>
      <c r="G353" s="1">
        <v>46041.716666666667</v>
      </c>
      <c r="H353" s="4">
        <f t="shared" si="5"/>
        <v>46041</v>
      </c>
      <c r="I353">
        <v>4999</v>
      </c>
      <c r="J353" s="2" t="s">
        <v>12</v>
      </c>
      <c r="K353" s="2" t="s">
        <v>10</v>
      </c>
      <c r="L353">
        <v>36</v>
      </c>
      <c r="M353">
        <f>IF(COUNTIFS($D$2:$D353, $D353, $H$2:$H353, $H353)=1, 1, 0)</f>
        <v>1</v>
      </c>
      <c r="N353">
        <f>_xlfn.IFNA(HLOOKUP($J353, fee_reference!$B$1:$E$2, 2, FALSE), 0)</f>
        <v>0</v>
      </c>
    </row>
    <row r="354" spans="1:14" x14ac:dyDescent="0.3">
      <c r="A354" s="2" t="s">
        <v>367</v>
      </c>
      <c r="B354">
        <v>231</v>
      </c>
      <c r="C354">
        <v>36</v>
      </c>
      <c r="D354" t="str">
        <f>IFERROR(VLOOKUP($C354,merchants!$A$2:$D$41,2,FALSE),"Merchant not found")</f>
        <v>Merchant_036</v>
      </c>
      <c r="E354" t="str">
        <f>IFERROR(VLOOKUP($C354, merchants!$A$2:$D$41, 4, FALSE), "Merchant not found")</f>
        <v>East</v>
      </c>
      <c r="F354" t="str">
        <f>IFERROR(VLOOKUP($C354, merchants!$A$2:$D$41, 3, FALSE), "Merchant not found")</f>
        <v>entertainment</v>
      </c>
      <c r="G354" s="1">
        <v>46025.522222222222</v>
      </c>
      <c r="H354" s="4">
        <f t="shared" si="5"/>
        <v>46025</v>
      </c>
      <c r="I354">
        <v>149</v>
      </c>
      <c r="J354" s="2" t="s">
        <v>12</v>
      </c>
      <c r="K354" s="2" t="s">
        <v>10</v>
      </c>
      <c r="L354">
        <v>35</v>
      </c>
      <c r="M354">
        <f>IF(COUNTIFS($D$2:$D354, $D354, $H$2:$H354, $H354)=1, 1, 0)</f>
        <v>1</v>
      </c>
      <c r="N354">
        <f>_xlfn.IFNA(HLOOKUP($J354, fee_reference!$B$1:$E$2, 2, FALSE), 0)</f>
        <v>0</v>
      </c>
    </row>
    <row r="355" spans="1:14" x14ac:dyDescent="0.3">
      <c r="A355" s="2" t="s">
        <v>368</v>
      </c>
      <c r="B355">
        <v>313</v>
      </c>
      <c r="C355">
        <v>8</v>
      </c>
      <c r="D355" t="str">
        <f>IFERROR(VLOOKUP($C355,merchants!$A$2:$D$41,2,FALSE),"Merchant not found")</f>
        <v>Merchant_008</v>
      </c>
      <c r="E355" t="str">
        <f>IFERROR(VLOOKUP($C355, merchants!$A$2:$D$41, 4, FALSE), "Merchant not found")</f>
        <v>North</v>
      </c>
      <c r="F355" t="str">
        <f>IFERROR(VLOOKUP($C355, merchants!$A$2:$D$41, 3, FALSE), "Merchant not found")</f>
        <v>food_delivery</v>
      </c>
      <c r="G355" s="1">
        <v>46049.821527777778</v>
      </c>
      <c r="H355" s="4">
        <f t="shared" si="5"/>
        <v>46049</v>
      </c>
      <c r="I355">
        <v>1499</v>
      </c>
      <c r="J355" s="2" t="s">
        <v>15</v>
      </c>
      <c r="K355" s="2" t="s">
        <v>10</v>
      </c>
      <c r="L355">
        <v>16</v>
      </c>
      <c r="M355">
        <f>IF(COUNTIFS($D$2:$D355, $D355, $H$2:$H355, $H355)=1, 1, 0)</f>
        <v>1</v>
      </c>
      <c r="N355">
        <f>_xlfn.IFNA(HLOOKUP($J355, fee_reference!$B$1:$E$2, 2, FALSE), 0)</f>
        <v>0.01</v>
      </c>
    </row>
    <row r="356" spans="1:14" x14ac:dyDescent="0.3">
      <c r="A356" s="2" t="s">
        <v>369</v>
      </c>
      <c r="B356">
        <v>174</v>
      </c>
      <c r="C356">
        <v>36</v>
      </c>
      <c r="D356" t="str">
        <f>IFERROR(VLOOKUP($C356,merchants!$A$2:$D$41,2,FALSE),"Merchant not found")</f>
        <v>Merchant_036</v>
      </c>
      <c r="E356" t="str">
        <f>IFERROR(VLOOKUP($C356, merchants!$A$2:$D$41, 4, FALSE), "Merchant not found")</f>
        <v>East</v>
      </c>
      <c r="F356" t="str">
        <f>IFERROR(VLOOKUP($C356, merchants!$A$2:$D$41, 3, FALSE), "Merchant not found")</f>
        <v>entertainment</v>
      </c>
      <c r="G356" s="1">
        <v>46026.515972222223</v>
      </c>
      <c r="H356" s="4">
        <f t="shared" si="5"/>
        <v>46026</v>
      </c>
      <c r="I356">
        <v>149</v>
      </c>
      <c r="J356" s="2" t="s">
        <v>12</v>
      </c>
      <c r="K356" s="2" t="s">
        <v>10</v>
      </c>
      <c r="L356">
        <v>46</v>
      </c>
      <c r="M356">
        <f>IF(COUNTIFS($D$2:$D356, $D356, $H$2:$H356, $H356)=1, 1, 0)</f>
        <v>1</v>
      </c>
      <c r="N356">
        <f>_xlfn.IFNA(HLOOKUP($J356, fee_reference!$B$1:$E$2, 2, FALSE), 0)</f>
        <v>0</v>
      </c>
    </row>
    <row r="357" spans="1:14" x14ac:dyDescent="0.3">
      <c r="A357" s="2" t="s">
        <v>370</v>
      </c>
      <c r="B357">
        <v>309</v>
      </c>
      <c r="C357">
        <v>33</v>
      </c>
      <c r="D357" t="str">
        <f>IFERROR(VLOOKUP($C357,merchants!$A$2:$D$41,2,FALSE),"Merchant not found")</f>
        <v>Merchant_033</v>
      </c>
      <c r="E357" t="str">
        <f>IFERROR(VLOOKUP($C357, merchants!$A$2:$D$41, 4, FALSE), "Merchant not found")</f>
        <v>East</v>
      </c>
      <c r="F357" t="str">
        <f>IFERROR(VLOOKUP($C357, merchants!$A$2:$D$41, 3, FALSE), "Merchant not found")</f>
        <v>bill_payment</v>
      </c>
      <c r="G357" s="1">
        <v>46047.175000000003</v>
      </c>
      <c r="H357" s="4">
        <f t="shared" si="5"/>
        <v>46047</v>
      </c>
      <c r="I357">
        <v>99</v>
      </c>
      <c r="J357" s="2" t="s">
        <v>12</v>
      </c>
      <c r="K357" s="2" t="s">
        <v>10</v>
      </c>
      <c r="L357">
        <v>51</v>
      </c>
      <c r="M357">
        <f>IF(COUNTIFS($D$2:$D357, $D357, $H$2:$H357, $H357)=1, 1, 0)</f>
        <v>1</v>
      </c>
      <c r="N357">
        <f>_xlfn.IFNA(HLOOKUP($J357, fee_reference!$B$1:$E$2, 2, FALSE), 0)</f>
        <v>0</v>
      </c>
    </row>
    <row r="358" spans="1:14" x14ac:dyDescent="0.3">
      <c r="A358" s="2" t="s">
        <v>371</v>
      </c>
      <c r="B358">
        <v>20</v>
      </c>
      <c r="C358">
        <v>9</v>
      </c>
      <c r="D358" t="str">
        <f>IFERROR(VLOOKUP($C358,merchants!$A$2:$D$41,2,FALSE),"Merchant not found")</f>
        <v>Merchant_009</v>
      </c>
      <c r="E358" t="str">
        <f>IFERROR(VLOOKUP($C358, merchants!$A$2:$D$41, 4, FALSE), "Merchant not found")</f>
        <v>North</v>
      </c>
      <c r="F358" t="str">
        <f>IFERROR(VLOOKUP($C358, merchants!$A$2:$D$41, 3, FALSE), "Merchant not found")</f>
        <v>ecommerce</v>
      </c>
      <c r="G358" s="1">
        <v>46039.043055555558</v>
      </c>
      <c r="H358" s="4">
        <f t="shared" si="5"/>
        <v>46039</v>
      </c>
      <c r="I358">
        <v>99</v>
      </c>
      <c r="J358" s="2" t="s">
        <v>12</v>
      </c>
      <c r="K358" s="2" t="s">
        <v>10</v>
      </c>
      <c r="L358">
        <v>91</v>
      </c>
      <c r="M358">
        <f>IF(COUNTIFS($D$2:$D358, $D358, $H$2:$H358, $H358)=1, 1, 0)</f>
        <v>0</v>
      </c>
      <c r="N358">
        <f>_xlfn.IFNA(HLOOKUP($J358, fee_reference!$B$1:$E$2, 2, FALSE), 0)</f>
        <v>0</v>
      </c>
    </row>
    <row r="359" spans="1:14" x14ac:dyDescent="0.3">
      <c r="A359" s="2" t="s">
        <v>372</v>
      </c>
      <c r="B359">
        <v>234</v>
      </c>
      <c r="C359">
        <v>10</v>
      </c>
      <c r="D359" t="str">
        <f>IFERROR(VLOOKUP($C359,merchants!$A$2:$D$41,2,FALSE),"Merchant not found")</f>
        <v>Merchant_010</v>
      </c>
      <c r="E359" t="str">
        <f>IFERROR(VLOOKUP($C359, merchants!$A$2:$D$41, 4, FALSE), "Merchant not found")</f>
        <v>West</v>
      </c>
      <c r="F359" t="str">
        <f>IFERROR(VLOOKUP($C359, merchants!$A$2:$D$41, 3, FALSE), "Merchant not found")</f>
        <v>grocery</v>
      </c>
      <c r="G359" s="1">
        <v>46033.647916666669</v>
      </c>
      <c r="H359" s="4">
        <f t="shared" si="5"/>
        <v>46033</v>
      </c>
      <c r="I359">
        <v>49</v>
      </c>
      <c r="J359" s="2" t="s">
        <v>12</v>
      </c>
      <c r="K359" s="2" t="s">
        <v>10</v>
      </c>
      <c r="L359">
        <v>77</v>
      </c>
      <c r="M359">
        <f>IF(COUNTIFS($D$2:$D359, $D359, $H$2:$H359, $H359)=1, 1, 0)</f>
        <v>0</v>
      </c>
      <c r="N359">
        <f>_xlfn.IFNA(HLOOKUP($J359, fee_reference!$B$1:$E$2, 2, FALSE), 0)</f>
        <v>0</v>
      </c>
    </row>
    <row r="360" spans="1:14" x14ac:dyDescent="0.3">
      <c r="A360" s="2" t="s">
        <v>373</v>
      </c>
      <c r="B360">
        <v>168</v>
      </c>
      <c r="C360">
        <v>40</v>
      </c>
      <c r="D360" t="str">
        <f>IFERROR(VLOOKUP($C360,merchants!$A$2:$D$41,2,FALSE),"Merchant not found")</f>
        <v>Merchant_040</v>
      </c>
      <c r="E360" t="str">
        <f>IFERROR(VLOOKUP($C360, merchants!$A$2:$D$41, 4, FALSE), "Merchant not found")</f>
        <v>South</v>
      </c>
      <c r="F360" t="str">
        <f>IFERROR(VLOOKUP($C360, merchants!$A$2:$D$41, 3, FALSE), "Merchant not found")</f>
        <v>entertainment</v>
      </c>
      <c r="G360" s="1">
        <v>46051.672222222223</v>
      </c>
      <c r="H360" s="4">
        <f t="shared" si="5"/>
        <v>46051</v>
      </c>
      <c r="I360">
        <v>149</v>
      </c>
      <c r="J360" s="2" t="s">
        <v>12</v>
      </c>
      <c r="K360" s="2" t="s">
        <v>38</v>
      </c>
      <c r="L360">
        <v>40</v>
      </c>
      <c r="M360">
        <f>IF(COUNTIFS($D$2:$D360, $D360, $H$2:$H360, $H360)=1, 1, 0)</f>
        <v>1</v>
      </c>
      <c r="N360">
        <f>_xlfn.IFNA(HLOOKUP($J360, fee_reference!$B$1:$E$2, 2, FALSE), 0)</f>
        <v>0</v>
      </c>
    </row>
    <row r="361" spans="1:14" x14ac:dyDescent="0.3">
      <c r="A361" s="2" t="s">
        <v>374</v>
      </c>
      <c r="B361">
        <v>154</v>
      </c>
      <c r="C361">
        <v>38</v>
      </c>
      <c r="D361" t="str">
        <f>IFERROR(VLOOKUP($C361,merchants!$A$2:$D$41,2,FALSE),"Merchant not found")</f>
        <v>Merchant_038</v>
      </c>
      <c r="E361" t="str">
        <f>IFERROR(VLOOKUP($C361, merchants!$A$2:$D$41, 4, FALSE), "Merchant not found")</f>
        <v>East</v>
      </c>
      <c r="F361" t="str">
        <f>IFERROR(VLOOKUP($C361, merchants!$A$2:$D$41, 3, FALSE), "Merchant not found")</f>
        <v>grocery</v>
      </c>
      <c r="G361" s="1">
        <v>46028.527083333334</v>
      </c>
      <c r="H361" s="4">
        <f t="shared" si="5"/>
        <v>46028</v>
      </c>
      <c r="I361">
        <v>99</v>
      </c>
      <c r="J361" s="2" t="s">
        <v>15</v>
      </c>
      <c r="K361" s="2" t="s">
        <v>10</v>
      </c>
      <c r="L361">
        <v>43</v>
      </c>
      <c r="M361">
        <f>IF(COUNTIFS($D$2:$D361, $D361, $H$2:$H361, $H361)=1, 1, 0)</f>
        <v>1</v>
      </c>
      <c r="N361">
        <f>_xlfn.IFNA(HLOOKUP($J361, fee_reference!$B$1:$E$2, 2, FALSE), 0)</f>
        <v>0.01</v>
      </c>
    </row>
    <row r="362" spans="1:14" x14ac:dyDescent="0.3">
      <c r="A362" s="2" t="s">
        <v>375</v>
      </c>
      <c r="B362">
        <v>251</v>
      </c>
      <c r="C362">
        <v>37</v>
      </c>
      <c r="D362" t="str">
        <f>IFERROR(VLOOKUP($C362,merchants!$A$2:$D$41,2,FALSE),"Merchant not found")</f>
        <v>Merchant_037</v>
      </c>
      <c r="E362" t="str">
        <f>IFERROR(VLOOKUP($C362, merchants!$A$2:$D$41, 4, FALSE), "Merchant not found")</f>
        <v>South</v>
      </c>
      <c r="F362" t="str">
        <f>IFERROR(VLOOKUP($C362, merchants!$A$2:$D$41, 3, FALSE), "Merchant not found")</f>
        <v>entertainment</v>
      </c>
      <c r="G362" s="1">
        <v>46039.69027777778</v>
      </c>
      <c r="H362" s="4">
        <f t="shared" si="5"/>
        <v>46039</v>
      </c>
      <c r="I362">
        <v>49</v>
      </c>
      <c r="J362" s="2" t="s">
        <v>12</v>
      </c>
      <c r="K362" s="2" t="s">
        <v>10</v>
      </c>
      <c r="L362">
        <v>38</v>
      </c>
      <c r="M362">
        <f>IF(COUNTIFS($D$2:$D362, $D362, $H$2:$H362, $H362)=1, 1, 0)</f>
        <v>1</v>
      </c>
      <c r="N362">
        <f>_xlfn.IFNA(HLOOKUP($J362, fee_reference!$B$1:$E$2, 2, FALSE), 0)</f>
        <v>0</v>
      </c>
    </row>
    <row r="363" spans="1:14" x14ac:dyDescent="0.3">
      <c r="A363" s="2" t="s">
        <v>376</v>
      </c>
      <c r="B363">
        <v>170</v>
      </c>
      <c r="C363">
        <v>8</v>
      </c>
      <c r="D363" t="str">
        <f>IFERROR(VLOOKUP($C363,merchants!$A$2:$D$41,2,FALSE),"Merchant not found")</f>
        <v>Merchant_008</v>
      </c>
      <c r="E363" t="str">
        <f>IFERROR(VLOOKUP($C363, merchants!$A$2:$D$41, 4, FALSE), "Merchant not found")</f>
        <v>North</v>
      </c>
      <c r="F363" t="str">
        <f>IFERROR(VLOOKUP($C363, merchants!$A$2:$D$41, 3, FALSE), "Merchant not found")</f>
        <v>food_delivery</v>
      </c>
      <c r="G363" s="1">
        <v>46038.015972222223</v>
      </c>
      <c r="H363" s="4">
        <f t="shared" si="5"/>
        <v>46038</v>
      </c>
      <c r="I363">
        <v>2999</v>
      </c>
      <c r="J363" s="2" t="s">
        <v>12</v>
      </c>
      <c r="K363" s="2" t="s">
        <v>10</v>
      </c>
      <c r="L363">
        <v>53</v>
      </c>
      <c r="M363">
        <f>IF(COUNTIFS($D$2:$D363, $D363, $H$2:$H363, $H363)=1, 1, 0)</f>
        <v>1</v>
      </c>
      <c r="N363">
        <f>_xlfn.IFNA(HLOOKUP($J363, fee_reference!$B$1:$E$2, 2, FALSE), 0)</f>
        <v>0</v>
      </c>
    </row>
    <row r="364" spans="1:14" x14ac:dyDescent="0.3">
      <c r="A364" s="2" t="s">
        <v>377</v>
      </c>
      <c r="B364">
        <v>323</v>
      </c>
      <c r="C364">
        <v>2</v>
      </c>
      <c r="D364" t="str">
        <f>IFERROR(VLOOKUP($C364,merchants!$A$2:$D$41,2,FALSE),"Merchant not found")</f>
        <v>Merchant_002</v>
      </c>
      <c r="E364" t="str">
        <f>IFERROR(VLOOKUP($C364, merchants!$A$2:$D$41, 4, FALSE), "Merchant not found")</f>
        <v>West</v>
      </c>
      <c r="F364" t="str">
        <f>IFERROR(VLOOKUP($C364, merchants!$A$2:$D$41, 3, FALSE), "Merchant not found")</f>
        <v>grocery</v>
      </c>
      <c r="G364" s="1">
        <v>46041.409722222219</v>
      </c>
      <c r="H364" s="4">
        <f t="shared" si="5"/>
        <v>46041</v>
      </c>
      <c r="I364">
        <v>49</v>
      </c>
      <c r="J364" s="2" t="s">
        <v>15</v>
      </c>
      <c r="K364" s="2" t="s">
        <v>10</v>
      </c>
      <c r="L364">
        <v>76</v>
      </c>
      <c r="M364">
        <f>IF(COUNTIFS($D$2:$D364, $D364, $H$2:$H364, $H364)=1, 1, 0)</f>
        <v>1</v>
      </c>
      <c r="N364">
        <f>_xlfn.IFNA(HLOOKUP($J364, fee_reference!$B$1:$E$2, 2, FALSE), 0)</f>
        <v>0.01</v>
      </c>
    </row>
    <row r="365" spans="1:14" x14ac:dyDescent="0.3">
      <c r="A365" s="2" t="s">
        <v>378</v>
      </c>
      <c r="B365">
        <v>297</v>
      </c>
      <c r="C365">
        <v>37</v>
      </c>
      <c r="D365" t="str">
        <f>IFERROR(VLOOKUP($C365,merchants!$A$2:$D$41,2,FALSE),"Merchant not found")</f>
        <v>Merchant_037</v>
      </c>
      <c r="E365" t="str">
        <f>IFERROR(VLOOKUP($C365, merchants!$A$2:$D$41, 4, FALSE), "Merchant not found")</f>
        <v>South</v>
      </c>
      <c r="F365" t="str">
        <f>IFERROR(VLOOKUP($C365, merchants!$A$2:$D$41, 3, FALSE), "Merchant not found")</f>
        <v>entertainment</v>
      </c>
      <c r="G365" s="1">
        <v>46038.361805555556</v>
      </c>
      <c r="H365" s="4">
        <f t="shared" si="5"/>
        <v>46038</v>
      </c>
      <c r="I365">
        <v>2999</v>
      </c>
      <c r="J365" s="2" t="s">
        <v>9</v>
      </c>
      <c r="K365" s="2" t="s">
        <v>10</v>
      </c>
      <c r="L365">
        <v>29</v>
      </c>
      <c r="M365">
        <f>IF(COUNTIFS($D$2:$D365, $D365, $H$2:$H365, $H365)=1, 1, 0)</f>
        <v>1</v>
      </c>
      <c r="N365">
        <f>_xlfn.IFNA(HLOOKUP($J365, fee_reference!$B$1:$E$2, 2, FALSE), 0)</f>
        <v>1.4999999999999999E-2</v>
      </c>
    </row>
    <row r="366" spans="1:14" x14ac:dyDescent="0.3">
      <c r="A366" s="2" t="s">
        <v>379</v>
      </c>
      <c r="B366">
        <v>246</v>
      </c>
      <c r="C366">
        <v>11</v>
      </c>
      <c r="D366" t="str">
        <f>IFERROR(VLOOKUP($C366,merchants!$A$2:$D$41,2,FALSE),"Merchant not found")</f>
        <v>Merchant_011</v>
      </c>
      <c r="E366" t="str">
        <f>IFERROR(VLOOKUP($C366, merchants!$A$2:$D$41, 4, FALSE), "Merchant not found")</f>
        <v>North</v>
      </c>
      <c r="F366" t="str">
        <f>IFERROR(VLOOKUP($C366, merchants!$A$2:$D$41, 3, FALSE), "Merchant not found")</f>
        <v>ecommerce</v>
      </c>
      <c r="G366" s="1">
        <v>46046.067361111112</v>
      </c>
      <c r="H366" s="4">
        <f t="shared" si="5"/>
        <v>46046</v>
      </c>
      <c r="I366">
        <v>299</v>
      </c>
      <c r="J366" s="2" t="s">
        <v>12</v>
      </c>
      <c r="K366" s="2" t="s">
        <v>10</v>
      </c>
      <c r="L366">
        <v>67</v>
      </c>
      <c r="M366">
        <f>IF(COUNTIFS($D$2:$D366, $D366, $H$2:$H366, $H366)=1, 1, 0)</f>
        <v>0</v>
      </c>
      <c r="N366">
        <f>_xlfn.IFNA(HLOOKUP($J366, fee_reference!$B$1:$E$2, 2, FALSE), 0)</f>
        <v>0</v>
      </c>
    </row>
    <row r="367" spans="1:14" x14ac:dyDescent="0.3">
      <c r="A367" s="2" t="s">
        <v>380</v>
      </c>
      <c r="B367">
        <v>195</v>
      </c>
      <c r="C367">
        <v>10</v>
      </c>
      <c r="D367" t="str">
        <f>IFERROR(VLOOKUP($C367,merchants!$A$2:$D$41,2,FALSE),"Merchant not found")</f>
        <v>Merchant_010</v>
      </c>
      <c r="E367" t="str">
        <f>IFERROR(VLOOKUP($C367, merchants!$A$2:$D$41, 4, FALSE), "Merchant not found")</f>
        <v>West</v>
      </c>
      <c r="F367" t="str">
        <f>IFERROR(VLOOKUP($C367, merchants!$A$2:$D$41, 3, FALSE), "Merchant not found")</f>
        <v>grocery</v>
      </c>
      <c r="G367" s="1">
        <v>46043.98541666667</v>
      </c>
      <c r="H367" s="4">
        <f t="shared" si="5"/>
        <v>46043</v>
      </c>
      <c r="I367">
        <v>99</v>
      </c>
      <c r="J367" s="2" t="s">
        <v>12</v>
      </c>
      <c r="K367" s="2" t="s">
        <v>10</v>
      </c>
      <c r="L367">
        <v>87</v>
      </c>
      <c r="M367">
        <f>IF(COUNTIFS($D$2:$D367, $D367, $H$2:$H367, $H367)=1, 1, 0)</f>
        <v>0</v>
      </c>
      <c r="N367">
        <f>_xlfn.IFNA(HLOOKUP($J367, fee_reference!$B$1:$E$2, 2, FALSE), 0)</f>
        <v>0</v>
      </c>
    </row>
    <row r="368" spans="1:14" x14ac:dyDescent="0.3">
      <c r="A368" s="2" t="s">
        <v>381</v>
      </c>
      <c r="B368">
        <v>57</v>
      </c>
      <c r="C368">
        <v>13</v>
      </c>
      <c r="D368" t="str">
        <f>IFERROR(VLOOKUP($C368,merchants!$A$2:$D$41,2,FALSE),"Merchant not found")</f>
        <v>Merchant_013</v>
      </c>
      <c r="E368" t="str">
        <f>IFERROR(VLOOKUP($C368, merchants!$A$2:$D$41, 4, FALSE), "Merchant not found")</f>
        <v>East</v>
      </c>
      <c r="F368" t="str">
        <f>IFERROR(VLOOKUP($C368, merchants!$A$2:$D$41, 3, FALSE), "Merchant not found")</f>
        <v>travel</v>
      </c>
      <c r="G368" s="1">
        <v>46030.066666666666</v>
      </c>
      <c r="H368" s="4">
        <f t="shared" si="5"/>
        <v>46030</v>
      </c>
      <c r="I368">
        <v>149</v>
      </c>
      <c r="J368" s="2" t="s">
        <v>12</v>
      </c>
      <c r="K368" s="2" t="s">
        <v>10</v>
      </c>
      <c r="L368">
        <v>2</v>
      </c>
      <c r="M368">
        <f>IF(COUNTIFS($D$2:$D368, $D368, $H$2:$H368, $H368)=1, 1, 0)</f>
        <v>1</v>
      </c>
      <c r="N368">
        <f>_xlfn.IFNA(HLOOKUP($J368, fee_reference!$B$1:$E$2, 2, FALSE), 0)</f>
        <v>0</v>
      </c>
    </row>
    <row r="369" spans="1:14" x14ac:dyDescent="0.3">
      <c r="A369" s="2" t="s">
        <v>382</v>
      </c>
      <c r="B369">
        <v>78</v>
      </c>
      <c r="C369">
        <v>27</v>
      </c>
      <c r="D369" t="str">
        <f>IFERROR(VLOOKUP($C369,merchants!$A$2:$D$41,2,FALSE),"Merchant not found")</f>
        <v>Merchant_027</v>
      </c>
      <c r="E369" t="str">
        <f>IFERROR(VLOOKUP($C369, merchants!$A$2:$D$41, 4, FALSE), "Merchant not found")</f>
        <v>North</v>
      </c>
      <c r="F369" t="str">
        <f>IFERROR(VLOOKUP($C369, merchants!$A$2:$D$41, 3, FALSE), "Merchant not found")</f>
        <v>ecommerce</v>
      </c>
      <c r="G369" s="1">
        <v>46037.43472222222</v>
      </c>
      <c r="H369" s="4">
        <f t="shared" si="5"/>
        <v>46037</v>
      </c>
      <c r="I369">
        <v>1499</v>
      </c>
      <c r="J369" s="2" t="s">
        <v>15</v>
      </c>
      <c r="K369" s="2" t="s">
        <v>25</v>
      </c>
      <c r="L369">
        <v>88</v>
      </c>
      <c r="M369">
        <f>IF(COUNTIFS($D$2:$D369, $D369, $H$2:$H369, $H369)=1, 1, 0)</f>
        <v>1</v>
      </c>
      <c r="N369">
        <f>_xlfn.IFNA(HLOOKUP($J369, fee_reference!$B$1:$E$2, 2, FALSE), 0)</f>
        <v>0.01</v>
      </c>
    </row>
    <row r="370" spans="1:14" x14ac:dyDescent="0.3">
      <c r="A370" s="2" t="s">
        <v>383</v>
      </c>
      <c r="B370">
        <v>314</v>
      </c>
      <c r="C370">
        <v>31</v>
      </c>
      <c r="D370" t="str">
        <f>IFERROR(VLOOKUP($C370,merchants!$A$2:$D$41,2,FALSE),"Merchant not found")</f>
        <v>Merchant_031</v>
      </c>
      <c r="E370" t="str">
        <f>IFERROR(VLOOKUP($C370, merchants!$A$2:$D$41, 4, FALSE), "Merchant not found")</f>
        <v>East</v>
      </c>
      <c r="F370" t="str">
        <f>IFERROR(VLOOKUP($C370, merchants!$A$2:$D$41, 3, FALSE), "Merchant not found")</f>
        <v>bill_payment</v>
      </c>
      <c r="G370" s="1">
        <v>46029.563888888886</v>
      </c>
      <c r="H370" s="4">
        <f t="shared" si="5"/>
        <v>46029</v>
      </c>
      <c r="I370">
        <v>49</v>
      </c>
      <c r="J370" s="2" t="s">
        <v>12</v>
      </c>
      <c r="K370" s="2" t="s">
        <v>38</v>
      </c>
      <c r="L370">
        <v>94</v>
      </c>
      <c r="M370">
        <f>IF(COUNTIFS($D$2:$D370, $D370, $H$2:$H370, $H370)=1, 1, 0)</f>
        <v>1</v>
      </c>
      <c r="N370">
        <f>_xlfn.IFNA(HLOOKUP($J370, fee_reference!$B$1:$E$2, 2, FALSE), 0)</f>
        <v>0</v>
      </c>
    </row>
    <row r="371" spans="1:14" x14ac:dyDescent="0.3">
      <c r="A371" s="2" t="s">
        <v>384</v>
      </c>
      <c r="B371">
        <v>71</v>
      </c>
      <c r="C371">
        <v>34</v>
      </c>
      <c r="D371" t="str">
        <f>IFERROR(VLOOKUP($C371,merchants!$A$2:$D$41,2,FALSE),"Merchant not found")</f>
        <v>Merchant_034</v>
      </c>
      <c r="E371" t="str">
        <f>IFERROR(VLOOKUP($C371, merchants!$A$2:$D$41, 4, FALSE), "Merchant not found")</f>
        <v>South</v>
      </c>
      <c r="F371" t="str">
        <f>IFERROR(VLOOKUP($C371, merchants!$A$2:$D$41, 3, FALSE), "Merchant not found")</f>
        <v>travel</v>
      </c>
      <c r="G371" s="1">
        <v>46046.072916666664</v>
      </c>
      <c r="H371" s="4">
        <f t="shared" si="5"/>
        <v>46046</v>
      </c>
      <c r="I371">
        <v>499</v>
      </c>
      <c r="J371" s="2" t="s">
        <v>12</v>
      </c>
      <c r="K371" s="2" t="s">
        <v>10</v>
      </c>
      <c r="L371">
        <v>26</v>
      </c>
      <c r="M371">
        <f>IF(COUNTIFS($D$2:$D371, $D371, $H$2:$H371, $H371)=1, 1, 0)</f>
        <v>0</v>
      </c>
      <c r="N371">
        <f>_xlfn.IFNA(HLOOKUP($J371, fee_reference!$B$1:$E$2, 2, FALSE), 0)</f>
        <v>0</v>
      </c>
    </row>
    <row r="372" spans="1:14" x14ac:dyDescent="0.3">
      <c r="A372" s="2" t="s">
        <v>385</v>
      </c>
      <c r="B372">
        <v>245</v>
      </c>
      <c r="C372">
        <v>34</v>
      </c>
      <c r="D372" t="str">
        <f>IFERROR(VLOOKUP($C372,merchants!$A$2:$D$41,2,FALSE),"Merchant not found")</f>
        <v>Merchant_034</v>
      </c>
      <c r="E372" t="str">
        <f>IFERROR(VLOOKUP($C372, merchants!$A$2:$D$41, 4, FALSE), "Merchant not found")</f>
        <v>South</v>
      </c>
      <c r="F372" t="str">
        <f>IFERROR(VLOOKUP($C372, merchants!$A$2:$D$41, 3, FALSE), "Merchant not found")</f>
        <v>travel</v>
      </c>
      <c r="G372" s="1">
        <v>46040.445833333331</v>
      </c>
      <c r="H372" s="4">
        <f t="shared" si="5"/>
        <v>46040</v>
      </c>
      <c r="I372">
        <v>99</v>
      </c>
      <c r="J372" s="2" t="s">
        <v>12</v>
      </c>
      <c r="K372" s="2" t="s">
        <v>10</v>
      </c>
      <c r="L372">
        <v>48</v>
      </c>
      <c r="M372">
        <f>IF(COUNTIFS($D$2:$D372, $D372, $H$2:$H372, $H372)=1, 1, 0)</f>
        <v>1</v>
      </c>
      <c r="N372">
        <f>_xlfn.IFNA(HLOOKUP($J372, fee_reference!$B$1:$E$2, 2, FALSE), 0)</f>
        <v>0</v>
      </c>
    </row>
    <row r="373" spans="1:14" x14ac:dyDescent="0.3">
      <c r="A373" s="2" t="s">
        <v>386</v>
      </c>
      <c r="B373">
        <v>273</v>
      </c>
      <c r="C373">
        <v>22</v>
      </c>
      <c r="D373" t="str">
        <f>IFERROR(VLOOKUP($C373,merchants!$A$2:$D$41,2,FALSE),"Merchant not found")</f>
        <v>Merchant_022</v>
      </c>
      <c r="E373" t="str">
        <f>IFERROR(VLOOKUP($C373, merchants!$A$2:$D$41, 4, FALSE), "Merchant not found")</f>
        <v>South</v>
      </c>
      <c r="F373" t="str">
        <f>IFERROR(VLOOKUP($C373, merchants!$A$2:$D$41, 3, FALSE), "Merchant not found")</f>
        <v>travel</v>
      </c>
      <c r="G373" s="1">
        <v>46033.228472222225</v>
      </c>
      <c r="H373" s="4">
        <f t="shared" si="5"/>
        <v>46033</v>
      </c>
      <c r="I373">
        <v>299</v>
      </c>
      <c r="J373" s="2" t="s">
        <v>9</v>
      </c>
      <c r="K373" s="2" t="s">
        <v>10</v>
      </c>
      <c r="L373">
        <v>69</v>
      </c>
      <c r="M373">
        <f>IF(COUNTIFS($D$2:$D373, $D373, $H$2:$H373, $H373)=1, 1, 0)</f>
        <v>1</v>
      </c>
      <c r="N373">
        <f>_xlfn.IFNA(HLOOKUP($J373, fee_reference!$B$1:$E$2, 2, FALSE), 0)</f>
        <v>1.4999999999999999E-2</v>
      </c>
    </row>
    <row r="374" spans="1:14" x14ac:dyDescent="0.3">
      <c r="A374" s="2" t="s">
        <v>387</v>
      </c>
      <c r="B374">
        <v>349</v>
      </c>
      <c r="C374">
        <v>17</v>
      </c>
      <c r="D374" t="str">
        <f>IFERROR(VLOOKUP($C374,merchants!$A$2:$D$41,2,FALSE),"Merchant not found")</f>
        <v>Merchant_017</v>
      </c>
      <c r="E374" t="str">
        <f>IFERROR(VLOOKUP($C374, merchants!$A$2:$D$41, 4, FALSE), "Merchant not found")</f>
        <v>North</v>
      </c>
      <c r="F374" t="str">
        <f>IFERROR(VLOOKUP($C374, merchants!$A$2:$D$41, 3, FALSE), "Merchant not found")</f>
        <v>grocery</v>
      </c>
      <c r="G374" s="1">
        <v>46034.90902777778</v>
      </c>
      <c r="H374" s="4">
        <f t="shared" si="5"/>
        <v>46034</v>
      </c>
      <c r="I374">
        <v>1499</v>
      </c>
      <c r="J374" s="2" t="s">
        <v>12</v>
      </c>
      <c r="K374" s="2" t="s">
        <v>10</v>
      </c>
      <c r="L374">
        <v>78</v>
      </c>
      <c r="M374">
        <f>IF(COUNTIFS($D$2:$D374, $D374, $H$2:$H374, $H374)=1, 1, 0)</f>
        <v>1</v>
      </c>
      <c r="N374">
        <f>_xlfn.IFNA(HLOOKUP($J374, fee_reference!$B$1:$E$2, 2, FALSE), 0)</f>
        <v>0</v>
      </c>
    </row>
    <row r="375" spans="1:14" x14ac:dyDescent="0.3">
      <c r="A375" s="2" t="s">
        <v>388</v>
      </c>
      <c r="B375">
        <v>143</v>
      </c>
      <c r="C375">
        <v>36</v>
      </c>
      <c r="D375" t="str">
        <f>IFERROR(VLOOKUP($C375,merchants!$A$2:$D$41,2,FALSE),"Merchant not found")</f>
        <v>Merchant_036</v>
      </c>
      <c r="E375" t="str">
        <f>IFERROR(VLOOKUP($C375, merchants!$A$2:$D$41, 4, FALSE), "Merchant not found")</f>
        <v>East</v>
      </c>
      <c r="F375" t="str">
        <f>IFERROR(VLOOKUP($C375, merchants!$A$2:$D$41, 3, FALSE), "Merchant not found")</f>
        <v>entertainment</v>
      </c>
      <c r="G375" s="1">
        <v>46038.260416666664</v>
      </c>
      <c r="H375" s="4">
        <f t="shared" si="5"/>
        <v>46038</v>
      </c>
      <c r="I375">
        <v>1499</v>
      </c>
      <c r="J375" s="2" t="s">
        <v>15</v>
      </c>
      <c r="K375" s="2" t="s">
        <v>10</v>
      </c>
      <c r="L375">
        <v>38</v>
      </c>
      <c r="M375">
        <f>IF(COUNTIFS($D$2:$D375, $D375, $H$2:$H375, $H375)=1, 1, 0)</f>
        <v>1</v>
      </c>
      <c r="N375">
        <f>_xlfn.IFNA(HLOOKUP($J375, fee_reference!$B$1:$E$2, 2, FALSE), 0)</f>
        <v>0.01</v>
      </c>
    </row>
    <row r="376" spans="1:14" x14ac:dyDescent="0.3">
      <c r="A376" s="2" t="s">
        <v>389</v>
      </c>
      <c r="B376">
        <v>148</v>
      </c>
      <c r="C376">
        <v>14</v>
      </c>
      <c r="D376" t="str">
        <f>IFERROR(VLOOKUP($C376,merchants!$A$2:$D$41,2,FALSE),"Merchant not found")</f>
        <v>Merchant_014</v>
      </c>
      <c r="E376" t="str">
        <f>IFERROR(VLOOKUP($C376, merchants!$A$2:$D$41, 4, FALSE), "Merchant not found")</f>
        <v>East</v>
      </c>
      <c r="F376" t="str">
        <f>IFERROR(VLOOKUP($C376, merchants!$A$2:$D$41, 3, FALSE), "Merchant not found")</f>
        <v>grocery</v>
      </c>
      <c r="G376" s="1">
        <v>46030.40902777778</v>
      </c>
      <c r="H376" s="4">
        <f t="shared" si="5"/>
        <v>46030</v>
      </c>
      <c r="I376">
        <v>799</v>
      </c>
      <c r="J376" s="2" t="s">
        <v>9</v>
      </c>
      <c r="K376" s="2" t="s">
        <v>10</v>
      </c>
      <c r="L376">
        <v>88</v>
      </c>
      <c r="M376">
        <f>IF(COUNTIFS($D$2:$D376, $D376, $H$2:$H376, $H376)=1, 1, 0)</f>
        <v>1</v>
      </c>
      <c r="N376">
        <f>_xlfn.IFNA(HLOOKUP($J376, fee_reference!$B$1:$E$2, 2, FALSE), 0)</f>
        <v>1.4999999999999999E-2</v>
      </c>
    </row>
    <row r="377" spans="1:14" x14ac:dyDescent="0.3">
      <c r="A377" s="2" t="s">
        <v>390</v>
      </c>
      <c r="B377">
        <v>246</v>
      </c>
      <c r="C377">
        <v>23</v>
      </c>
      <c r="D377" t="str">
        <f>IFERROR(VLOOKUP($C377,merchants!$A$2:$D$41,2,FALSE),"Merchant not found")</f>
        <v>Merchant_023</v>
      </c>
      <c r="E377" t="str">
        <f>IFERROR(VLOOKUP($C377, merchants!$A$2:$D$41, 4, FALSE), "Merchant not found")</f>
        <v>North</v>
      </c>
      <c r="F377" t="str">
        <f>IFERROR(VLOOKUP($C377, merchants!$A$2:$D$41, 3, FALSE), "Merchant not found")</f>
        <v>travel</v>
      </c>
      <c r="G377" s="1">
        <v>46045.638888888891</v>
      </c>
      <c r="H377" s="4">
        <f t="shared" si="5"/>
        <v>46045</v>
      </c>
      <c r="I377">
        <v>49</v>
      </c>
      <c r="J377" s="2" t="s">
        <v>12</v>
      </c>
      <c r="K377" s="2" t="s">
        <v>10</v>
      </c>
      <c r="L377">
        <v>71</v>
      </c>
      <c r="M377">
        <f>IF(COUNTIFS($D$2:$D377, $D377, $H$2:$H377, $H377)=1, 1, 0)</f>
        <v>0</v>
      </c>
      <c r="N377">
        <f>_xlfn.IFNA(HLOOKUP($J377, fee_reference!$B$1:$E$2, 2, FALSE), 0)</f>
        <v>0</v>
      </c>
    </row>
    <row r="378" spans="1:14" x14ac:dyDescent="0.3">
      <c r="A378" s="2" t="s">
        <v>391</v>
      </c>
      <c r="B378">
        <v>148</v>
      </c>
      <c r="C378">
        <v>8</v>
      </c>
      <c r="D378" t="str">
        <f>IFERROR(VLOOKUP($C378,merchants!$A$2:$D$41,2,FALSE),"Merchant not found")</f>
        <v>Merchant_008</v>
      </c>
      <c r="E378" t="str">
        <f>IFERROR(VLOOKUP($C378, merchants!$A$2:$D$41, 4, FALSE), "Merchant not found")</f>
        <v>North</v>
      </c>
      <c r="F378" t="str">
        <f>IFERROR(VLOOKUP($C378, merchants!$A$2:$D$41, 3, FALSE), "Merchant not found")</f>
        <v>food_delivery</v>
      </c>
      <c r="G378" s="1">
        <v>46052.970138888886</v>
      </c>
      <c r="H378" s="4">
        <f t="shared" si="5"/>
        <v>46052</v>
      </c>
      <c r="I378">
        <v>99</v>
      </c>
      <c r="J378" s="2" t="s">
        <v>9</v>
      </c>
      <c r="K378" s="2" t="s">
        <v>10</v>
      </c>
      <c r="L378">
        <v>73</v>
      </c>
      <c r="M378">
        <f>IF(COUNTIFS($D$2:$D378, $D378, $H$2:$H378, $H378)=1, 1, 0)</f>
        <v>1</v>
      </c>
      <c r="N378">
        <f>_xlfn.IFNA(HLOOKUP($J378, fee_reference!$B$1:$E$2, 2, FALSE), 0)</f>
        <v>1.4999999999999999E-2</v>
      </c>
    </row>
    <row r="379" spans="1:14" x14ac:dyDescent="0.3">
      <c r="A379" s="2" t="s">
        <v>392</v>
      </c>
      <c r="B379">
        <v>203</v>
      </c>
      <c r="C379">
        <v>23</v>
      </c>
      <c r="D379" t="str">
        <f>IFERROR(VLOOKUP($C379,merchants!$A$2:$D$41,2,FALSE),"Merchant not found")</f>
        <v>Merchant_023</v>
      </c>
      <c r="E379" t="str">
        <f>IFERROR(VLOOKUP($C379, merchants!$A$2:$D$41, 4, FALSE), "Merchant not found")</f>
        <v>North</v>
      </c>
      <c r="F379" t="str">
        <f>IFERROR(VLOOKUP($C379, merchants!$A$2:$D$41, 3, FALSE), "Merchant not found")</f>
        <v>travel</v>
      </c>
      <c r="G379" s="1">
        <v>46044.724999999999</v>
      </c>
      <c r="H379" s="4">
        <f t="shared" si="5"/>
        <v>46044</v>
      </c>
      <c r="I379">
        <v>49</v>
      </c>
      <c r="J379" s="2" t="s">
        <v>12</v>
      </c>
      <c r="K379" s="2" t="s">
        <v>10</v>
      </c>
      <c r="L379">
        <v>98</v>
      </c>
      <c r="M379">
        <f>IF(COUNTIFS($D$2:$D379, $D379, $H$2:$H379, $H379)=1, 1, 0)</f>
        <v>1</v>
      </c>
      <c r="N379">
        <f>_xlfn.IFNA(HLOOKUP($J379, fee_reference!$B$1:$E$2, 2, FALSE), 0)</f>
        <v>0</v>
      </c>
    </row>
    <row r="380" spans="1:14" x14ac:dyDescent="0.3">
      <c r="A380" s="2" t="s">
        <v>393</v>
      </c>
      <c r="B380">
        <v>22</v>
      </c>
      <c r="C380">
        <v>19</v>
      </c>
      <c r="D380" t="str">
        <f>IFERROR(VLOOKUP($C380,merchants!$A$2:$D$41,2,FALSE),"Merchant not found")</f>
        <v>Merchant_019</v>
      </c>
      <c r="E380" t="str">
        <f>IFERROR(VLOOKUP($C380, merchants!$A$2:$D$41, 4, FALSE), "Merchant not found")</f>
        <v>North</v>
      </c>
      <c r="F380" t="str">
        <f>IFERROR(VLOOKUP($C380, merchants!$A$2:$D$41, 3, FALSE), "Merchant not found")</f>
        <v>grocery</v>
      </c>
      <c r="G380" s="1">
        <v>46048.179166666669</v>
      </c>
      <c r="H380" s="4">
        <f t="shared" si="5"/>
        <v>46048</v>
      </c>
      <c r="I380">
        <v>49</v>
      </c>
      <c r="J380" s="2" t="s">
        <v>24</v>
      </c>
      <c r="K380" s="2" t="s">
        <v>10</v>
      </c>
      <c r="L380">
        <v>91</v>
      </c>
      <c r="M380">
        <f>IF(COUNTIFS($D$2:$D380, $D380, $H$2:$H380, $H380)=1, 1, 0)</f>
        <v>1</v>
      </c>
      <c r="N380">
        <f>_xlfn.IFNA(HLOOKUP($J380, fee_reference!$B$1:$E$2, 2, FALSE), 0)</f>
        <v>2.5000000000000001E-2</v>
      </c>
    </row>
    <row r="381" spans="1:14" x14ac:dyDescent="0.3">
      <c r="A381" s="2" t="s">
        <v>394</v>
      </c>
      <c r="B381">
        <v>227</v>
      </c>
      <c r="C381">
        <v>17</v>
      </c>
      <c r="D381" t="str">
        <f>IFERROR(VLOOKUP($C381,merchants!$A$2:$D$41,2,FALSE),"Merchant not found")</f>
        <v>Merchant_017</v>
      </c>
      <c r="E381" t="str">
        <f>IFERROR(VLOOKUP($C381, merchants!$A$2:$D$41, 4, FALSE), "Merchant not found")</f>
        <v>North</v>
      </c>
      <c r="F381" t="str">
        <f>IFERROR(VLOOKUP($C381, merchants!$A$2:$D$41, 3, FALSE), "Merchant not found")</f>
        <v>grocery</v>
      </c>
      <c r="G381" s="1">
        <v>46025.499305555553</v>
      </c>
      <c r="H381" s="4">
        <f t="shared" si="5"/>
        <v>46025</v>
      </c>
      <c r="I381">
        <v>299</v>
      </c>
      <c r="J381" s="2" t="s">
        <v>9</v>
      </c>
      <c r="K381" s="2" t="s">
        <v>10</v>
      </c>
      <c r="L381">
        <v>95</v>
      </c>
      <c r="M381">
        <f>IF(COUNTIFS($D$2:$D381, $D381, $H$2:$H381, $H381)=1, 1, 0)</f>
        <v>0</v>
      </c>
      <c r="N381">
        <f>_xlfn.IFNA(HLOOKUP($J381, fee_reference!$B$1:$E$2, 2, FALSE), 0)</f>
        <v>1.4999999999999999E-2</v>
      </c>
    </row>
    <row r="382" spans="1:14" x14ac:dyDescent="0.3">
      <c r="A382" s="2" t="s">
        <v>395</v>
      </c>
      <c r="B382">
        <v>276</v>
      </c>
      <c r="C382">
        <v>18</v>
      </c>
      <c r="D382" t="str">
        <f>IFERROR(VLOOKUP($C382,merchants!$A$2:$D$41,2,FALSE),"Merchant not found")</f>
        <v>Merchant_018</v>
      </c>
      <c r="E382" t="str">
        <f>IFERROR(VLOOKUP($C382, merchants!$A$2:$D$41, 4, FALSE), "Merchant not found")</f>
        <v>West</v>
      </c>
      <c r="F382" t="str">
        <f>IFERROR(VLOOKUP($C382, merchants!$A$2:$D$41, 3, FALSE), "Merchant not found")</f>
        <v>grocery</v>
      </c>
      <c r="G382" s="1">
        <v>46038.258333333331</v>
      </c>
      <c r="H382" s="4">
        <f t="shared" si="5"/>
        <v>46038</v>
      </c>
      <c r="I382">
        <v>149</v>
      </c>
      <c r="J382" s="2" t="s">
        <v>9</v>
      </c>
      <c r="K382" s="2" t="s">
        <v>10</v>
      </c>
      <c r="L382">
        <v>71</v>
      </c>
      <c r="M382">
        <f>IF(COUNTIFS($D$2:$D382, $D382, $H$2:$H382, $H382)=1, 1, 0)</f>
        <v>0</v>
      </c>
      <c r="N382">
        <f>_xlfn.IFNA(HLOOKUP($J382, fee_reference!$B$1:$E$2, 2, FALSE), 0)</f>
        <v>1.4999999999999999E-2</v>
      </c>
    </row>
    <row r="383" spans="1:14" x14ac:dyDescent="0.3">
      <c r="A383" s="2" t="s">
        <v>396</v>
      </c>
      <c r="B383">
        <v>56</v>
      </c>
      <c r="C383">
        <v>40</v>
      </c>
      <c r="D383" t="str">
        <f>IFERROR(VLOOKUP($C383,merchants!$A$2:$D$41,2,FALSE),"Merchant not found")</f>
        <v>Merchant_040</v>
      </c>
      <c r="E383" t="str">
        <f>IFERROR(VLOOKUP($C383, merchants!$A$2:$D$41, 4, FALSE), "Merchant not found")</f>
        <v>South</v>
      </c>
      <c r="F383" t="str">
        <f>IFERROR(VLOOKUP($C383, merchants!$A$2:$D$41, 3, FALSE), "Merchant not found")</f>
        <v>entertainment</v>
      </c>
      <c r="G383" s="1">
        <v>46045.338888888888</v>
      </c>
      <c r="H383" s="4">
        <f t="shared" si="5"/>
        <v>46045</v>
      </c>
      <c r="I383">
        <v>99</v>
      </c>
      <c r="J383" s="2" t="s">
        <v>24</v>
      </c>
      <c r="K383" s="2" t="s">
        <v>10</v>
      </c>
      <c r="L383">
        <v>94</v>
      </c>
      <c r="M383">
        <f>IF(COUNTIFS($D$2:$D383, $D383, $H$2:$H383, $H383)=1, 1, 0)</f>
        <v>1</v>
      </c>
      <c r="N383">
        <f>_xlfn.IFNA(HLOOKUP($J383, fee_reference!$B$1:$E$2, 2, FALSE), 0)</f>
        <v>2.5000000000000001E-2</v>
      </c>
    </row>
    <row r="384" spans="1:14" x14ac:dyDescent="0.3">
      <c r="A384" s="2" t="s">
        <v>397</v>
      </c>
      <c r="B384">
        <v>26</v>
      </c>
      <c r="C384">
        <v>34</v>
      </c>
      <c r="D384" t="str">
        <f>IFERROR(VLOOKUP($C384,merchants!$A$2:$D$41,2,FALSE),"Merchant not found")</f>
        <v>Merchant_034</v>
      </c>
      <c r="E384" t="str">
        <f>IFERROR(VLOOKUP($C384, merchants!$A$2:$D$41, 4, FALSE), "Merchant not found")</f>
        <v>South</v>
      </c>
      <c r="F384" t="str">
        <f>IFERROR(VLOOKUP($C384, merchants!$A$2:$D$41, 3, FALSE), "Merchant not found")</f>
        <v>travel</v>
      </c>
      <c r="G384" s="1">
        <v>46041.302083333336</v>
      </c>
      <c r="H384" s="4">
        <f t="shared" si="5"/>
        <v>46041</v>
      </c>
      <c r="I384">
        <v>499</v>
      </c>
      <c r="J384" s="2" t="s">
        <v>24</v>
      </c>
      <c r="K384" s="2" t="s">
        <v>10</v>
      </c>
      <c r="L384">
        <v>28</v>
      </c>
      <c r="M384">
        <f>IF(COUNTIFS($D$2:$D384, $D384, $H$2:$H384, $H384)=1, 1, 0)</f>
        <v>1</v>
      </c>
      <c r="N384">
        <f>_xlfn.IFNA(HLOOKUP($J384, fee_reference!$B$1:$E$2, 2, FALSE), 0)</f>
        <v>2.5000000000000001E-2</v>
      </c>
    </row>
    <row r="385" spans="1:14" x14ac:dyDescent="0.3">
      <c r="A385" s="2" t="s">
        <v>398</v>
      </c>
      <c r="B385">
        <v>52</v>
      </c>
      <c r="C385">
        <v>27</v>
      </c>
      <c r="D385" t="str">
        <f>IFERROR(VLOOKUP($C385,merchants!$A$2:$D$41,2,FALSE),"Merchant not found")</f>
        <v>Merchant_027</v>
      </c>
      <c r="E385" t="str">
        <f>IFERROR(VLOOKUP($C385, merchants!$A$2:$D$41, 4, FALSE), "Merchant not found")</f>
        <v>North</v>
      </c>
      <c r="F385" t="str">
        <f>IFERROR(VLOOKUP($C385, merchants!$A$2:$D$41, 3, FALSE), "Merchant not found")</f>
        <v>ecommerce</v>
      </c>
      <c r="G385" s="1">
        <v>46043.293749999997</v>
      </c>
      <c r="H385" s="4">
        <f t="shared" si="5"/>
        <v>46043</v>
      </c>
      <c r="I385">
        <v>499</v>
      </c>
      <c r="J385" s="2" t="s">
        <v>24</v>
      </c>
      <c r="K385" s="2" t="s">
        <v>10</v>
      </c>
      <c r="L385">
        <v>42</v>
      </c>
      <c r="M385">
        <f>IF(COUNTIFS($D$2:$D385, $D385, $H$2:$H385, $H385)=1, 1, 0)</f>
        <v>1</v>
      </c>
      <c r="N385">
        <f>_xlfn.IFNA(HLOOKUP($J385, fee_reference!$B$1:$E$2, 2, FALSE), 0)</f>
        <v>2.5000000000000001E-2</v>
      </c>
    </row>
    <row r="386" spans="1:14" x14ac:dyDescent="0.3">
      <c r="A386" s="2" t="s">
        <v>399</v>
      </c>
      <c r="B386">
        <v>349</v>
      </c>
      <c r="C386">
        <v>9</v>
      </c>
      <c r="D386" t="str">
        <f>IFERROR(VLOOKUP($C386,merchants!$A$2:$D$41,2,FALSE),"Merchant not found")</f>
        <v>Merchant_009</v>
      </c>
      <c r="E386" t="str">
        <f>IFERROR(VLOOKUP($C386, merchants!$A$2:$D$41, 4, FALSE), "Merchant not found")</f>
        <v>North</v>
      </c>
      <c r="F386" t="str">
        <f>IFERROR(VLOOKUP($C386, merchants!$A$2:$D$41, 3, FALSE), "Merchant not found")</f>
        <v>ecommerce</v>
      </c>
      <c r="G386" s="1">
        <v>46045.629166666666</v>
      </c>
      <c r="H386" s="4">
        <f t="shared" ref="H386:H449" si="6">INT(G386)</f>
        <v>46045</v>
      </c>
      <c r="I386">
        <v>499</v>
      </c>
      <c r="J386" s="2" t="s">
        <v>9</v>
      </c>
      <c r="K386" s="2" t="s">
        <v>10</v>
      </c>
      <c r="L386">
        <v>0</v>
      </c>
      <c r="M386">
        <f>IF(COUNTIFS($D$2:$D386, $D386, $H$2:$H386, $H386)=1, 1, 0)</f>
        <v>1</v>
      </c>
      <c r="N386">
        <f>_xlfn.IFNA(HLOOKUP($J386, fee_reference!$B$1:$E$2, 2, FALSE), 0)</f>
        <v>1.4999999999999999E-2</v>
      </c>
    </row>
    <row r="387" spans="1:14" x14ac:dyDescent="0.3">
      <c r="A387" s="2" t="s">
        <v>400</v>
      </c>
      <c r="B387">
        <v>335</v>
      </c>
      <c r="C387">
        <v>31</v>
      </c>
      <c r="D387" t="str">
        <f>IFERROR(VLOOKUP($C387,merchants!$A$2:$D$41,2,FALSE),"Merchant not found")</f>
        <v>Merchant_031</v>
      </c>
      <c r="E387" t="str">
        <f>IFERROR(VLOOKUP($C387, merchants!$A$2:$D$41, 4, FALSE), "Merchant not found")</f>
        <v>East</v>
      </c>
      <c r="F387" t="str">
        <f>IFERROR(VLOOKUP($C387, merchants!$A$2:$D$41, 3, FALSE), "Merchant not found")</f>
        <v>bill_payment</v>
      </c>
      <c r="G387" s="1">
        <v>46040.226388888892</v>
      </c>
      <c r="H387" s="4">
        <f t="shared" si="6"/>
        <v>46040</v>
      </c>
      <c r="I387">
        <v>49</v>
      </c>
      <c r="J387" s="2" t="s">
        <v>24</v>
      </c>
      <c r="K387" s="2" t="s">
        <v>10</v>
      </c>
      <c r="L387">
        <v>61</v>
      </c>
      <c r="M387">
        <f>IF(COUNTIFS($D$2:$D387, $D387, $H$2:$H387, $H387)=1, 1, 0)</f>
        <v>1</v>
      </c>
      <c r="N387">
        <f>_xlfn.IFNA(HLOOKUP($J387, fee_reference!$B$1:$E$2, 2, FALSE), 0)</f>
        <v>2.5000000000000001E-2</v>
      </c>
    </row>
    <row r="388" spans="1:14" x14ac:dyDescent="0.3">
      <c r="A388" s="2" t="s">
        <v>401</v>
      </c>
      <c r="B388">
        <v>148</v>
      </c>
      <c r="C388">
        <v>21</v>
      </c>
      <c r="D388" t="str">
        <f>IFERROR(VLOOKUP($C388,merchants!$A$2:$D$41,2,FALSE),"Merchant not found")</f>
        <v>Merchant_021</v>
      </c>
      <c r="E388" t="str">
        <f>IFERROR(VLOOKUP($C388, merchants!$A$2:$D$41, 4, FALSE), "Merchant not found")</f>
        <v>East</v>
      </c>
      <c r="F388" t="str">
        <f>IFERROR(VLOOKUP($C388, merchants!$A$2:$D$41, 3, FALSE), "Merchant not found")</f>
        <v>food_delivery</v>
      </c>
      <c r="G388" s="1">
        <v>46043.283333333333</v>
      </c>
      <c r="H388" s="4">
        <f t="shared" si="6"/>
        <v>46043</v>
      </c>
      <c r="I388">
        <v>49</v>
      </c>
      <c r="J388" s="2" t="s">
        <v>24</v>
      </c>
      <c r="K388" s="2" t="s">
        <v>10</v>
      </c>
      <c r="L388">
        <v>36</v>
      </c>
      <c r="M388">
        <f>IF(COUNTIFS($D$2:$D388, $D388, $H$2:$H388, $H388)=1, 1, 0)</f>
        <v>1</v>
      </c>
      <c r="N388">
        <f>_xlfn.IFNA(HLOOKUP($J388, fee_reference!$B$1:$E$2, 2, FALSE), 0)</f>
        <v>2.5000000000000001E-2</v>
      </c>
    </row>
    <row r="389" spans="1:14" x14ac:dyDescent="0.3">
      <c r="A389" s="2" t="s">
        <v>402</v>
      </c>
      <c r="B389">
        <v>46</v>
      </c>
      <c r="C389">
        <v>37</v>
      </c>
      <c r="D389" t="str">
        <f>IFERROR(VLOOKUP($C389,merchants!$A$2:$D$41,2,FALSE),"Merchant not found")</f>
        <v>Merchant_037</v>
      </c>
      <c r="E389" t="str">
        <f>IFERROR(VLOOKUP($C389, merchants!$A$2:$D$41, 4, FALSE), "Merchant not found")</f>
        <v>South</v>
      </c>
      <c r="F389" t="str">
        <f>IFERROR(VLOOKUP($C389, merchants!$A$2:$D$41, 3, FALSE), "Merchant not found")</f>
        <v>entertainment</v>
      </c>
      <c r="G389" s="1">
        <v>46043.081944444442</v>
      </c>
      <c r="H389" s="4">
        <f t="shared" si="6"/>
        <v>46043</v>
      </c>
      <c r="I389">
        <v>99</v>
      </c>
      <c r="J389" s="2" t="s">
        <v>9</v>
      </c>
      <c r="K389" s="2" t="s">
        <v>10</v>
      </c>
      <c r="L389">
        <v>29</v>
      </c>
      <c r="M389">
        <f>IF(COUNTIFS($D$2:$D389, $D389, $H$2:$H389, $H389)=1, 1, 0)</f>
        <v>1</v>
      </c>
      <c r="N389">
        <f>_xlfn.IFNA(HLOOKUP($J389, fee_reference!$B$1:$E$2, 2, FALSE), 0)</f>
        <v>1.4999999999999999E-2</v>
      </c>
    </row>
    <row r="390" spans="1:14" x14ac:dyDescent="0.3">
      <c r="A390" s="2" t="s">
        <v>403</v>
      </c>
      <c r="B390">
        <v>20</v>
      </c>
      <c r="C390">
        <v>12</v>
      </c>
      <c r="D390" t="str">
        <f>IFERROR(VLOOKUP($C390,merchants!$A$2:$D$41,2,FALSE),"Merchant not found")</f>
        <v>Merchant_012</v>
      </c>
      <c r="E390" t="str">
        <f>IFERROR(VLOOKUP($C390, merchants!$A$2:$D$41, 4, FALSE), "Merchant not found")</f>
        <v>East</v>
      </c>
      <c r="F390" t="str">
        <f>IFERROR(VLOOKUP($C390, merchants!$A$2:$D$41, 3, FALSE), "Merchant not found")</f>
        <v>ecommerce</v>
      </c>
      <c r="G390" s="1">
        <v>46040.990277777775</v>
      </c>
      <c r="H390" s="4">
        <f t="shared" si="6"/>
        <v>46040</v>
      </c>
      <c r="I390">
        <v>799</v>
      </c>
      <c r="J390" s="2" t="s">
        <v>24</v>
      </c>
      <c r="K390" s="2" t="s">
        <v>10</v>
      </c>
      <c r="L390">
        <v>53</v>
      </c>
      <c r="M390">
        <f>IF(COUNTIFS($D$2:$D390, $D390, $H$2:$H390, $H390)=1, 1, 0)</f>
        <v>1</v>
      </c>
      <c r="N390">
        <f>_xlfn.IFNA(HLOOKUP($J390, fee_reference!$B$1:$E$2, 2, FALSE), 0)</f>
        <v>2.5000000000000001E-2</v>
      </c>
    </row>
    <row r="391" spans="1:14" x14ac:dyDescent="0.3">
      <c r="A391" s="2" t="s">
        <v>404</v>
      </c>
      <c r="B391">
        <v>19</v>
      </c>
      <c r="C391">
        <v>26</v>
      </c>
      <c r="D391" t="str">
        <f>IFERROR(VLOOKUP($C391,merchants!$A$2:$D$41,2,FALSE),"Merchant not found")</f>
        <v>Merchant_026</v>
      </c>
      <c r="E391" t="str">
        <f>IFERROR(VLOOKUP($C391, merchants!$A$2:$D$41, 4, FALSE), "Merchant not found")</f>
        <v>East</v>
      </c>
      <c r="F391" t="str">
        <f>IFERROR(VLOOKUP($C391, merchants!$A$2:$D$41, 3, FALSE), "Merchant not found")</f>
        <v>food_delivery</v>
      </c>
      <c r="G391" s="1">
        <v>46051.249305555553</v>
      </c>
      <c r="H391" s="4">
        <f t="shared" si="6"/>
        <v>46051</v>
      </c>
      <c r="I391">
        <v>49</v>
      </c>
      <c r="J391" s="2" t="s">
        <v>12</v>
      </c>
      <c r="K391" s="2" t="s">
        <v>10</v>
      </c>
      <c r="L391">
        <v>100</v>
      </c>
      <c r="M391">
        <f>IF(COUNTIFS($D$2:$D391, $D391, $H$2:$H391, $H391)=1, 1, 0)</f>
        <v>0</v>
      </c>
      <c r="N391">
        <f>_xlfn.IFNA(HLOOKUP($J391, fee_reference!$B$1:$E$2, 2, FALSE), 0)</f>
        <v>0</v>
      </c>
    </row>
    <row r="392" spans="1:14" x14ac:dyDescent="0.3">
      <c r="A392" s="2" t="s">
        <v>405</v>
      </c>
      <c r="B392">
        <v>149</v>
      </c>
      <c r="C392">
        <v>3</v>
      </c>
      <c r="D392" t="str">
        <f>IFERROR(VLOOKUP($C392,merchants!$A$2:$D$41,2,FALSE),"Merchant not found")</f>
        <v>Merchant_003</v>
      </c>
      <c r="E392" t="str">
        <f>IFERROR(VLOOKUP($C392, merchants!$A$2:$D$41, 4, FALSE), "Merchant not found")</f>
        <v>East</v>
      </c>
      <c r="F392" t="str">
        <f>IFERROR(VLOOKUP($C392, merchants!$A$2:$D$41, 3, FALSE), "Merchant not found")</f>
        <v>grocery</v>
      </c>
      <c r="G392" s="1">
        <v>46038.249305555553</v>
      </c>
      <c r="H392" s="4">
        <f t="shared" si="6"/>
        <v>46038</v>
      </c>
      <c r="I392">
        <v>4999</v>
      </c>
      <c r="J392" s="2" t="s">
        <v>9</v>
      </c>
      <c r="K392" s="2" t="s">
        <v>10</v>
      </c>
      <c r="L392">
        <v>1</v>
      </c>
      <c r="M392">
        <f>IF(COUNTIFS($D$2:$D392, $D392, $H$2:$H392, $H392)=1, 1, 0)</f>
        <v>1</v>
      </c>
      <c r="N392">
        <f>_xlfn.IFNA(HLOOKUP($J392, fee_reference!$B$1:$E$2, 2, FALSE), 0)</f>
        <v>1.4999999999999999E-2</v>
      </c>
    </row>
    <row r="393" spans="1:14" x14ac:dyDescent="0.3">
      <c r="A393" s="2" t="s">
        <v>406</v>
      </c>
      <c r="B393">
        <v>55</v>
      </c>
      <c r="C393">
        <v>22</v>
      </c>
      <c r="D393" t="str">
        <f>IFERROR(VLOOKUP($C393,merchants!$A$2:$D$41,2,FALSE),"Merchant not found")</f>
        <v>Merchant_022</v>
      </c>
      <c r="E393" t="str">
        <f>IFERROR(VLOOKUP($C393, merchants!$A$2:$D$41, 4, FALSE), "Merchant not found")</f>
        <v>South</v>
      </c>
      <c r="F393" t="str">
        <f>IFERROR(VLOOKUP($C393, merchants!$A$2:$D$41, 3, FALSE), "Merchant not found")</f>
        <v>travel</v>
      </c>
      <c r="G393" s="1">
        <v>46032.776388888888</v>
      </c>
      <c r="H393" s="4">
        <f t="shared" si="6"/>
        <v>46032</v>
      </c>
      <c r="I393">
        <v>499</v>
      </c>
      <c r="J393" s="2" t="s">
        <v>12</v>
      </c>
      <c r="K393" s="2" t="s">
        <v>10</v>
      </c>
      <c r="L393">
        <v>36</v>
      </c>
      <c r="M393">
        <f>IF(COUNTIFS($D$2:$D393, $D393, $H$2:$H393, $H393)=1, 1, 0)</f>
        <v>1</v>
      </c>
      <c r="N393">
        <f>_xlfn.IFNA(HLOOKUP($J393, fee_reference!$B$1:$E$2, 2, FALSE), 0)</f>
        <v>0</v>
      </c>
    </row>
    <row r="394" spans="1:14" x14ac:dyDescent="0.3">
      <c r="A394" s="2" t="s">
        <v>407</v>
      </c>
      <c r="B394">
        <v>269</v>
      </c>
      <c r="C394">
        <v>32</v>
      </c>
      <c r="D394" t="str">
        <f>IFERROR(VLOOKUP($C394,merchants!$A$2:$D$41,2,FALSE),"Merchant not found")</f>
        <v>Merchant_032</v>
      </c>
      <c r="E394" t="str">
        <f>IFERROR(VLOOKUP($C394, merchants!$A$2:$D$41, 4, FALSE), "Merchant not found")</f>
        <v>West</v>
      </c>
      <c r="F394" t="str">
        <f>IFERROR(VLOOKUP($C394, merchants!$A$2:$D$41, 3, FALSE), "Merchant not found")</f>
        <v>food_delivery</v>
      </c>
      <c r="G394" s="1">
        <v>46037.856944444444</v>
      </c>
      <c r="H394" s="4">
        <f t="shared" si="6"/>
        <v>46037</v>
      </c>
      <c r="I394">
        <v>49</v>
      </c>
      <c r="J394" s="2" t="s">
        <v>24</v>
      </c>
      <c r="K394" s="2" t="s">
        <v>10</v>
      </c>
      <c r="L394">
        <v>17</v>
      </c>
      <c r="M394">
        <f>IF(COUNTIFS($D$2:$D394, $D394, $H$2:$H394, $H394)=1, 1, 0)</f>
        <v>0</v>
      </c>
      <c r="N394">
        <f>_xlfn.IFNA(HLOOKUP($J394, fee_reference!$B$1:$E$2, 2, FALSE), 0)</f>
        <v>2.5000000000000001E-2</v>
      </c>
    </row>
    <row r="395" spans="1:14" x14ac:dyDescent="0.3">
      <c r="A395" s="2" t="s">
        <v>408</v>
      </c>
      <c r="B395">
        <v>140</v>
      </c>
      <c r="C395">
        <v>13</v>
      </c>
      <c r="D395" t="str">
        <f>IFERROR(VLOOKUP($C395,merchants!$A$2:$D$41,2,FALSE),"Merchant not found")</f>
        <v>Merchant_013</v>
      </c>
      <c r="E395" t="str">
        <f>IFERROR(VLOOKUP($C395, merchants!$A$2:$D$41, 4, FALSE), "Merchant not found")</f>
        <v>East</v>
      </c>
      <c r="F395" t="str">
        <f>IFERROR(VLOOKUP($C395, merchants!$A$2:$D$41, 3, FALSE), "Merchant not found")</f>
        <v>travel</v>
      </c>
      <c r="G395" s="1">
        <v>46050.686805555553</v>
      </c>
      <c r="H395" s="4">
        <f t="shared" si="6"/>
        <v>46050</v>
      </c>
      <c r="I395">
        <v>2999</v>
      </c>
      <c r="J395" s="2" t="s">
        <v>12</v>
      </c>
      <c r="K395" s="2" t="s">
        <v>10</v>
      </c>
      <c r="L395">
        <v>14</v>
      </c>
      <c r="M395">
        <f>IF(COUNTIFS($D$2:$D395, $D395, $H$2:$H395, $H395)=1, 1, 0)</f>
        <v>1</v>
      </c>
      <c r="N395">
        <f>_xlfn.IFNA(HLOOKUP($J395, fee_reference!$B$1:$E$2, 2, FALSE), 0)</f>
        <v>0</v>
      </c>
    </row>
    <row r="396" spans="1:14" x14ac:dyDescent="0.3">
      <c r="A396" s="2" t="s">
        <v>409</v>
      </c>
      <c r="B396">
        <v>235</v>
      </c>
      <c r="C396">
        <v>17</v>
      </c>
      <c r="D396" t="str">
        <f>IFERROR(VLOOKUP($C396,merchants!$A$2:$D$41,2,FALSE),"Merchant not found")</f>
        <v>Merchant_017</v>
      </c>
      <c r="E396" t="str">
        <f>IFERROR(VLOOKUP($C396, merchants!$A$2:$D$41, 4, FALSE), "Merchant not found")</f>
        <v>North</v>
      </c>
      <c r="F396" t="str">
        <f>IFERROR(VLOOKUP($C396, merchants!$A$2:$D$41, 3, FALSE), "Merchant not found")</f>
        <v>grocery</v>
      </c>
      <c r="G396" s="1">
        <v>46033.240277777775</v>
      </c>
      <c r="H396" s="4">
        <f t="shared" si="6"/>
        <v>46033</v>
      </c>
      <c r="I396">
        <v>2999</v>
      </c>
      <c r="J396" s="2" t="s">
        <v>12</v>
      </c>
      <c r="K396" s="2" t="s">
        <v>10</v>
      </c>
      <c r="L396">
        <v>91</v>
      </c>
      <c r="M396">
        <f>IF(COUNTIFS($D$2:$D396, $D396, $H$2:$H396, $H396)=1, 1, 0)</f>
        <v>0</v>
      </c>
      <c r="N396">
        <f>_xlfn.IFNA(HLOOKUP($J396, fee_reference!$B$1:$E$2, 2, FALSE), 0)</f>
        <v>0</v>
      </c>
    </row>
    <row r="397" spans="1:14" x14ac:dyDescent="0.3">
      <c r="A397" s="2" t="s">
        <v>410</v>
      </c>
      <c r="B397">
        <v>173</v>
      </c>
      <c r="C397">
        <v>19</v>
      </c>
      <c r="D397" t="str">
        <f>IFERROR(VLOOKUP($C397,merchants!$A$2:$D$41,2,FALSE),"Merchant not found")</f>
        <v>Merchant_019</v>
      </c>
      <c r="E397" t="str">
        <f>IFERROR(VLOOKUP($C397, merchants!$A$2:$D$41, 4, FALSE), "Merchant not found")</f>
        <v>North</v>
      </c>
      <c r="F397" t="str">
        <f>IFERROR(VLOOKUP($C397, merchants!$A$2:$D$41, 3, FALSE), "Merchant not found")</f>
        <v>grocery</v>
      </c>
      <c r="G397" s="1">
        <v>46028.032638888886</v>
      </c>
      <c r="H397" s="4">
        <f t="shared" si="6"/>
        <v>46028</v>
      </c>
      <c r="I397">
        <v>499</v>
      </c>
      <c r="J397" s="2" t="s">
        <v>12</v>
      </c>
      <c r="K397" s="2" t="s">
        <v>25</v>
      </c>
      <c r="L397">
        <v>72</v>
      </c>
      <c r="M397">
        <f>IF(COUNTIFS($D$2:$D397, $D397, $H$2:$H397, $H397)=1, 1, 0)</f>
        <v>1</v>
      </c>
      <c r="N397">
        <f>_xlfn.IFNA(HLOOKUP($J397, fee_reference!$B$1:$E$2, 2, FALSE), 0)</f>
        <v>0</v>
      </c>
    </row>
    <row r="398" spans="1:14" x14ac:dyDescent="0.3">
      <c r="A398" s="2" t="s">
        <v>411</v>
      </c>
      <c r="B398">
        <v>313</v>
      </c>
      <c r="C398">
        <v>26</v>
      </c>
      <c r="D398" t="str">
        <f>IFERROR(VLOOKUP($C398,merchants!$A$2:$D$41,2,FALSE),"Merchant not found")</f>
        <v>Merchant_026</v>
      </c>
      <c r="E398" t="str">
        <f>IFERROR(VLOOKUP($C398, merchants!$A$2:$D$41, 4, FALSE), "Merchant not found")</f>
        <v>East</v>
      </c>
      <c r="F398" t="str">
        <f>IFERROR(VLOOKUP($C398, merchants!$A$2:$D$41, 3, FALSE), "Merchant not found")</f>
        <v>food_delivery</v>
      </c>
      <c r="G398" s="1">
        <v>46044.257638888892</v>
      </c>
      <c r="H398" s="4">
        <f t="shared" si="6"/>
        <v>46044</v>
      </c>
      <c r="I398">
        <v>499</v>
      </c>
      <c r="J398" s="2" t="s">
        <v>12</v>
      </c>
      <c r="K398" s="2" t="s">
        <v>10</v>
      </c>
      <c r="L398">
        <v>54</v>
      </c>
      <c r="M398">
        <f>IF(COUNTIFS($D$2:$D398, $D398, $H$2:$H398, $H398)=1, 1, 0)</f>
        <v>1</v>
      </c>
      <c r="N398">
        <f>_xlfn.IFNA(HLOOKUP($J398, fee_reference!$B$1:$E$2, 2, FALSE), 0)</f>
        <v>0</v>
      </c>
    </row>
    <row r="399" spans="1:14" x14ac:dyDescent="0.3">
      <c r="A399" s="2" t="s">
        <v>412</v>
      </c>
      <c r="B399">
        <v>206</v>
      </c>
      <c r="C399">
        <v>7</v>
      </c>
      <c r="D399" t="str">
        <f>IFERROR(VLOOKUP($C399,merchants!$A$2:$D$41,2,FALSE),"Merchant not found")</f>
        <v>Merchant_007</v>
      </c>
      <c r="E399" t="str">
        <f>IFERROR(VLOOKUP($C399, merchants!$A$2:$D$41, 4, FALSE), "Merchant not found")</f>
        <v>East</v>
      </c>
      <c r="F399" t="str">
        <f>IFERROR(VLOOKUP($C399, merchants!$A$2:$D$41, 3, FALSE), "Merchant not found")</f>
        <v>food_delivery</v>
      </c>
      <c r="G399" s="1">
        <v>46039.420138888891</v>
      </c>
      <c r="H399" s="4">
        <f t="shared" si="6"/>
        <v>46039</v>
      </c>
      <c r="I399">
        <v>149</v>
      </c>
      <c r="J399" s="2" t="s">
        <v>9</v>
      </c>
      <c r="K399" s="2" t="s">
        <v>10</v>
      </c>
      <c r="L399">
        <v>23</v>
      </c>
      <c r="M399">
        <f>IF(COUNTIFS($D$2:$D399, $D399, $H$2:$H399, $H399)=1, 1, 0)</f>
        <v>1</v>
      </c>
      <c r="N399">
        <f>_xlfn.IFNA(HLOOKUP($J399, fee_reference!$B$1:$E$2, 2, FALSE), 0)</f>
        <v>1.4999999999999999E-2</v>
      </c>
    </row>
    <row r="400" spans="1:14" x14ac:dyDescent="0.3">
      <c r="A400" s="2" t="s">
        <v>413</v>
      </c>
      <c r="B400">
        <v>128</v>
      </c>
      <c r="C400">
        <v>1</v>
      </c>
      <c r="D400" t="str">
        <f>IFERROR(VLOOKUP($C400,merchants!$A$2:$D$41,2,FALSE),"Merchant not found")</f>
        <v>Merchant_001</v>
      </c>
      <c r="E400" t="str">
        <f>IFERROR(VLOOKUP($C400, merchants!$A$2:$D$41, 4, FALSE), "Merchant not found")</f>
        <v>South</v>
      </c>
      <c r="F400" t="str">
        <f>IFERROR(VLOOKUP($C400, merchants!$A$2:$D$41, 3, FALSE), "Merchant not found")</f>
        <v>ecommerce</v>
      </c>
      <c r="G400" s="1">
        <v>46027.638888888891</v>
      </c>
      <c r="H400" s="4">
        <f t="shared" si="6"/>
        <v>46027</v>
      </c>
      <c r="I400">
        <v>1499</v>
      </c>
      <c r="J400" s="2" t="s">
        <v>15</v>
      </c>
      <c r="K400" s="2" t="s">
        <v>10</v>
      </c>
      <c r="L400">
        <v>33</v>
      </c>
      <c r="M400">
        <f>IF(COUNTIFS($D$2:$D400, $D400, $H$2:$H400, $H400)=1, 1, 0)</f>
        <v>1</v>
      </c>
      <c r="N400">
        <f>_xlfn.IFNA(HLOOKUP($J400, fee_reference!$B$1:$E$2, 2, FALSE), 0)</f>
        <v>0.01</v>
      </c>
    </row>
    <row r="401" spans="1:14" x14ac:dyDescent="0.3">
      <c r="A401" s="2" t="s">
        <v>414</v>
      </c>
      <c r="B401">
        <v>137</v>
      </c>
      <c r="C401">
        <v>22</v>
      </c>
      <c r="D401" t="str">
        <f>IFERROR(VLOOKUP($C401,merchants!$A$2:$D$41,2,FALSE),"Merchant not found")</f>
        <v>Merchant_022</v>
      </c>
      <c r="E401" t="str">
        <f>IFERROR(VLOOKUP($C401, merchants!$A$2:$D$41, 4, FALSE), "Merchant not found")</f>
        <v>South</v>
      </c>
      <c r="F401" t="str">
        <f>IFERROR(VLOOKUP($C401, merchants!$A$2:$D$41, 3, FALSE), "Merchant not found")</f>
        <v>travel</v>
      </c>
      <c r="G401" s="1">
        <v>46035.311111111114</v>
      </c>
      <c r="H401" s="4">
        <f t="shared" si="6"/>
        <v>46035</v>
      </c>
      <c r="I401">
        <v>799</v>
      </c>
      <c r="J401" s="2" t="s">
        <v>12</v>
      </c>
      <c r="K401" s="2" t="s">
        <v>25</v>
      </c>
      <c r="L401">
        <v>38</v>
      </c>
      <c r="M401">
        <f>IF(COUNTIFS($D$2:$D401, $D401, $H$2:$H401, $H401)=1, 1, 0)</f>
        <v>1</v>
      </c>
      <c r="N401">
        <f>_xlfn.IFNA(HLOOKUP($J401, fee_reference!$B$1:$E$2, 2, FALSE), 0)</f>
        <v>0</v>
      </c>
    </row>
    <row r="402" spans="1:14" x14ac:dyDescent="0.3">
      <c r="A402" s="2" t="s">
        <v>415</v>
      </c>
      <c r="B402">
        <v>6</v>
      </c>
      <c r="C402">
        <v>17</v>
      </c>
      <c r="D402" t="str">
        <f>IFERROR(VLOOKUP($C402,merchants!$A$2:$D$41,2,FALSE),"Merchant not found")</f>
        <v>Merchant_017</v>
      </c>
      <c r="E402" t="str">
        <f>IFERROR(VLOOKUP($C402, merchants!$A$2:$D$41, 4, FALSE), "Merchant not found")</f>
        <v>North</v>
      </c>
      <c r="F402" t="str">
        <f>IFERROR(VLOOKUP($C402, merchants!$A$2:$D$41, 3, FALSE), "Merchant not found")</f>
        <v>grocery</v>
      </c>
      <c r="G402" s="1">
        <v>46041.98333333333</v>
      </c>
      <c r="H402" s="4">
        <f t="shared" si="6"/>
        <v>46041</v>
      </c>
      <c r="I402">
        <v>49</v>
      </c>
      <c r="J402" s="2" t="s">
        <v>12</v>
      </c>
      <c r="K402" s="2" t="s">
        <v>10</v>
      </c>
      <c r="L402">
        <v>83</v>
      </c>
      <c r="M402">
        <f>IF(COUNTIFS($D$2:$D402, $D402, $H$2:$H402, $H402)=1, 1, 0)</f>
        <v>1</v>
      </c>
      <c r="N402">
        <f>_xlfn.IFNA(HLOOKUP($J402, fee_reference!$B$1:$E$2, 2, FALSE), 0)</f>
        <v>0</v>
      </c>
    </row>
    <row r="403" spans="1:14" x14ac:dyDescent="0.3">
      <c r="A403" s="2" t="s">
        <v>416</v>
      </c>
      <c r="B403">
        <v>32</v>
      </c>
      <c r="C403">
        <v>8</v>
      </c>
      <c r="D403" t="str">
        <f>IFERROR(VLOOKUP($C403,merchants!$A$2:$D$41,2,FALSE),"Merchant not found")</f>
        <v>Merchant_008</v>
      </c>
      <c r="E403" t="str">
        <f>IFERROR(VLOOKUP($C403, merchants!$A$2:$D$41, 4, FALSE), "Merchant not found")</f>
        <v>North</v>
      </c>
      <c r="F403" t="str">
        <f>IFERROR(VLOOKUP($C403, merchants!$A$2:$D$41, 3, FALSE), "Merchant not found")</f>
        <v>food_delivery</v>
      </c>
      <c r="G403" s="1">
        <v>46034.927083333336</v>
      </c>
      <c r="H403" s="4">
        <f t="shared" si="6"/>
        <v>46034</v>
      </c>
      <c r="I403">
        <v>299</v>
      </c>
      <c r="J403" s="2" t="s">
        <v>24</v>
      </c>
      <c r="K403" s="2" t="s">
        <v>10</v>
      </c>
      <c r="L403">
        <v>59</v>
      </c>
      <c r="M403">
        <f>IF(COUNTIFS($D$2:$D403, $D403, $H$2:$H403, $H403)=1, 1, 0)</f>
        <v>1</v>
      </c>
      <c r="N403">
        <f>_xlfn.IFNA(HLOOKUP($J403, fee_reference!$B$1:$E$2, 2, FALSE), 0)</f>
        <v>2.5000000000000001E-2</v>
      </c>
    </row>
    <row r="404" spans="1:14" x14ac:dyDescent="0.3">
      <c r="A404" s="2" t="s">
        <v>417</v>
      </c>
      <c r="B404">
        <v>258</v>
      </c>
      <c r="C404">
        <v>20</v>
      </c>
      <c r="D404" t="str">
        <f>IFERROR(VLOOKUP($C404,merchants!$A$2:$D$41,2,FALSE),"Merchant not found")</f>
        <v>Merchant_020</v>
      </c>
      <c r="E404" t="str">
        <f>IFERROR(VLOOKUP($C404, merchants!$A$2:$D$41, 4, FALSE), "Merchant not found")</f>
        <v>East</v>
      </c>
      <c r="F404" t="str">
        <f>IFERROR(VLOOKUP($C404, merchants!$A$2:$D$41, 3, FALSE), "Merchant not found")</f>
        <v>food_delivery</v>
      </c>
      <c r="G404" s="1">
        <v>46032.225694444445</v>
      </c>
      <c r="H404" s="4">
        <f t="shared" si="6"/>
        <v>46032</v>
      </c>
      <c r="I404">
        <v>149</v>
      </c>
      <c r="J404" s="2" t="s">
        <v>12</v>
      </c>
      <c r="K404" s="2" t="s">
        <v>10</v>
      </c>
      <c r="L404">
        <v>88</v>
      </c>
      <c r="M404">
        <f>IF(COUNTIFS($D$2:$D404, $D404, $H$2:$H404, $H404)=1, 1, 0)</f>
        <v>1</v>
      </c>
      <c r="N404">
        <f>_xlfn.IFNA(HLOOKUP($J404, fee_reference!$B$1:$E$2, 2, FALSE), 0)</f>
        <v>0</v>
      </c>
    </row>
    <row r="405" spans="1:14" x14ac:dyDescent="0.3">
      <c r="A405" s="2" t="s">
        <v>418</v>
      </c>
      <c r="B405">
        <v>152</v>
      </c>
      <c r="C405">
        <v>24</v>
      </c>
      <c r="D405" t="str">
        <f>IFERROR(VLOOKUP($C405,merchants!$A$2:$D$41,2,FALSE),"Merchant not found")</f>
        <v>Merchant_024</v>
      </c>
      <c r="E405" t="str">
        <f>IFERROR(VLOOKUP($C405, merchants!$A$2:$D$41, 4, FALSE), "Merchant not found")</f>
        <v>North</v>
      </c>
      <c r="F405" t="str">
        <f>IFERROR(VLOOKUP($C405, merchants!$A$2:$D$41, 3, FALSE), "Merchant not found")</f>
        <v>grocery</v>
      </c>
      <c r="G405" s="1">
        <v>46026.873611111114</v>
      </c>
      <c r="H405" s="4">
        <f t="shared" si="6"/>
        <v>46026</v>
      </c>
      <c r="I405">
        <v>149</v>
      </c>
      <c r="J405" s="2" t="s">
        <v>12</v>
      </c>
      <c r="K405" s="2" t="s">
        <v>38</v>
      </c>
      <c r="L405">
        <v>78</v>
      </c>
      <c r="M405">
        <f>IF(COUNTIFS($D$2:$D405, $D405, $H$2:$H405, $H405)=1, 1, 0)</f>
        <v>1</v>
      </c>
      <c r="N405">
        <f>_xlfn.IFNA(HLOOKUP($J405, fee_reference!$B$1:$E$2, 2, FALSE), 0)</f>
        <v>0</v>
      </c>
    </row>
    <row r="406" spans="1:14" x14ac:dyDescent="0.3">
      <c r="A406" s="2" t="s">
        <v>419</v>
      </c>
      <c r="B406">
        <v>245</v>
      </c>
      <c r="C406">
        <v>10</v>
      </c>
      <c r="D406" t="str">
        <f>IFERROR(VLOOKUP($C406,merchants!$A$2:$D$41,2,FALSE),"Merchant not found")</f>
        <v>Merchant_010</v>
      </c>
      <c r="E406" t="str">
        <f>IFERROR(VLOOKUP($C406, merchants!$A$2:$D$41, 4, FALSE), "Merchant not found")</f>
        <v>West</v>
      </c>
      <c r="F406" t="str">
        <f>IFERROR(VLOOKUP($C406, merchants!$A$2:$D$41, 3, FALSE), "Merchant not found")</f>
        <v>grocery</v>
      </c>
      <c r="G406" s="1">
        <v>46030.297222222223</v>
      </c>
      <c r="H406" s="4">
        <f t="shared" si="6"/>
        <v>46030</v>
      </c>
      <c r="I406">
        <v>799</v>
      </c>
      <c r="J406" s="2" t="s">
        <v>9</v>
      </c>
      <c r="K406" s="2" t="s">
        <v>10</v>
      </c>
      <c r="L406">
        <v>58</v>
      </c>
      <c r="M406">
        <f>IF(COUNTIFS($D$2:$D406, $D406, $H$2:$H406, $H406)=1, 1, 0)</f>
        <v>1</v>
      </c>
      <c r="N406">
        <f>_xlfn.IFNA(HLOOKUP($J406, fee_reference!$B$1:$E$2, 2, FALSE), 0)</f>
        <v>1.4999999999999999E-2</v>
      </c>
    </row>
    <row r="407" spans="1:14" x14ac:dyDescent="0.3">
      <c r="A407" s="2" t="s">
        <v>420</v>
      </c>
      <c r="B407">
        <v>213</v>
      </c>
      <c r="C407">
        <v>36</v>
      </c>
      <c r="D407" t="str">
        <f>IFERROR(VLOOKUP($C407,merchants!$A$2:$D$41,2,FALSE),"Merchant not found")</f>
        <v>Merchant_036</v>
      </c>
      <c r="E407" t="str">
        <f>IFERROR(VLOOKUP($C407, merchants!$A$2:$D$41, 4, FALSE), "Merchant not found")</f>
        <v>East</v>
      </c>
      <c r="F407" t="str">
        <f>IFERROR(VLOOKUP($C407, merchants!$A$2:$D$41, 3, FALSE), "Merchant not found")</f>
        <v>entertainment</v>
      </c>
      <c r="G407" s="1">
        <v>46046.807638888888</v>
      </c>
      <c r="H407" s="4">
        <f t="shared" si="6"/>
        <v>46046</v>
      </c>
      <c r="I407">
        <v>49</v>
      </c>
      <c r="J407" s="2" t="s">
        <v>9</v>
      </c>
      <c r="K407" s="2" t="s">
        <v>10</v>
      </c>
      <c r="L407">
        <v>60</v>
      </c>
      <c r="M407">
        <f>IF(COUNTIFS($D$2:$D407, $D407, $H$2:$H407, $H407)=1, 1, 0)</f>
        <v>0</v>
      </c>
      <c r="N407">
        <f>_xlfn.IFNA(HLOOKUP($J407, fee_reference!$B$1:$E$2, 2, FALSE), 0)</f>
        <v>1.4999999999999999E-2</v>
      </c>
    </row>
    <row r="408" spans="1:14" x14ac:dyDescent="0.3">
      <c r="A408" s="2" t="s">
        <v>421</v>
      </c>
      <c r="B408">
        <v>341</v>
      </c>
      <c r="C408">
        <v>14</v>
      </c>
      <c r="D408" t="str">
        <f>IFERROR(VLOOKUP($C408,merchants!$A$2:$D$41,2,FALSE),"Merchant not found")</f>
        <v>Merchant_014</v>
      </c>
      <c r="E408" t="str">
        <f>IFERROR(VLOOKUP($C408, merchants!$A$2:$D$41, 4, FALSE), "Merchant not found")</f>
        <v>East</v>
      </c>
      <c r="F408" t="str">
        <f>IFERROR(VLOOKUP($C408, merchants!$A$2:$D$41, 3, FALSE), "Merchant not found")</f>
        <v>grocery</v>
      </c>
      <c r="G408" s="1">
        <v>46047.743750000001</v>
      </c>
      <c r="H408" s="4">
        <f t="shared" si="6"/>
        <v>46047</v>
      </c>
      <c r="I408">
        <v>99</v>
      </c>
      <c r="J408" s="2" t="s">
        <v>15</v>
      </c>
      <c r="K408" s="2" t="s">
        <v>10</v>
      </c>
      <c r="L408">
        <v>97</v>
      </c>
      <c r="M408">
        <f>IF(COUNTIFS($D$2:$D408, $D408, $H$2:$H408, $H408)=1, 1, 0)</f>
        <v>0</v>
      </c>
      <c r="N408">
        <f>_xlfn.IFNA(HLOOKUP($J408, fee_reference!$B$1:$E$2, 2, FALSE), 0)</f>
        <v>0.01</v>
      </c>
    </row>
    <row r="409" spans="1:14" x14ac:dyDescent="0.3">
      <c r="A409" s="2" t="s">
        <v>422</v>
      </c>
      <c r="B409">
        <v>306</v>
      </c>
      <c r="C409">
        <v>6</v>
      </c>
      <c r="D409" t="str">
        <f>IFERROR(VLOOKUP($C409,merchants!$A$2:$D$41,2,FALSE),"Merchant not found")</f>
        <v>Merchant_006</v>
      </c>
      <c r="E409" t="str">
        <f>IFERROR(VLOOKUP($C409, merchants!$A$2:$D$41, 4, FALSE), "Merchant not found")</f>
        <v>South</v>
      </c>
      <c r="F409" t="str">
        <f>IFERROR(VLOOKUP($C409, merchants!$A$2:$D$41, 3, FALSE), "Merchant not found")</f>
        <v>food_delivery</v>
      </c>
      <c r="G409" s="1">
        <v>46030.908333333333</v>
      </c>
      <c r="H409" s="4">
        <f t="shared" si="6"/>
        <v>46030</v>
      </c>
      <c r="I409">
        <v>149</v>
      </c>
      <c r="J409" s="2" t="s">
        <v>15</v>
      </c>
      <c r="K409" s="2" t="s">
        <v>10</v>
      </c>
      <c r="L409">
        <v>67</v>
      </c>
      <c r="M409">
        <f>IF(COUNTIFS($D$2:$D409, $D409, $H$2:$H409, $H409)=1, 1, 0)</f>
        <v>1</v>
      </c>
      <c r="N409">
        <f>_xlfn.IFNA(HLOOKUP($J409, fee_reference!$B$1:$E$2, 2, FALSE), 0)</f>
        <v>0.01</v>
      </c>
    </row>
    <row r="410" spans="1:14" x14ac:dyDescent="0.3">
      <c r="A410" s="2" t="s">
        <v>423</v>
      </c>
      <c r="B410">
        <v>186</v>
      </c>
      <c r="C410">
        <v>5</v>
      </c>
      <c r="D410" t="str">
        <f>IFERROR(VLOOKUP($C410,merchants!$A$2:$D$41,2,FALSE),"Merchant not found")</f>
        <v>Merchant_005</v>
      </c>
      <c r="E410" t="str">
        <f>IFERROR(VLOOKUP($C410, merchants!$A$2:$D$41, 4, FALSE), "Merchant not found")</f>
        <v>South</v>
      </c>
      <c r="F410" t="str">
        <f>IFERROR(VLOOKUP($C410, merchants!$A$2:$D$41, 3, FALSE), "Merchant not found")</f>
        <v>recharge</v>
      </c>
      <c r="G410" s="1">
        <v>46037.697916666664</v>
      </c>
      <c r="H410" s="4">
        <f t="shared" si="6"/>
        <v>46037</v>
      </c>
      <c r="I410">
        <v>499</v>
      </c>
      <c r="J410" s="2" t="s">
        <v>12</v>
      </c>
      <c r="K410" s="2" t="s">
        <v>10</v>
      </c>
      <c r="L410">
        <v>72</v>
      </c>
      <c r="M410">
        <f>IF(COUNTIFS($D$2:$D410, $D410, $H$2:$H410, $H410)=1, 1, 0)</f>
        <v>0</v>
      </c>
      <c r="N410">
        <f>_xlfn.IFNA(HLOOKUP($J410, fee_reference!$B$1:$E$2, 2, FALSE), 0)</f>
        <v>0</v>
      </c>
    </row>
    <row r="411" spans="1:14" x14ac:dyDescent="0.3">
      <c r="A411" s="2" t="s">
        <v>424</v>
      </c>
      <c r="B411">
        <v>281</v>
      </c>
      <c r="C411">
        <v>33</v>
      </c>
      <c r="D411" t="str">
        <f>IFERROR(VLOOKUP($C411,merchants!$A$2:$D$41,2,FALSE),"Merchant not found")</f>
        <v>Merchant_033</v>
      </c>
      <c r="E411" t="str">
        <f>IFERROR(VLOOKUP($C411, merchants!$A$2:$D$41, 4, FALSE), "Merchant not found")</f>
        <v>East</v>
      </c>
      <c r="F411" t="str">
        <f>IFERROR(VLOOKUP($C411, merchants!$A$2:$D$41, 3, FALSE), "Merchant not found")</f>
        <v>bill_payment</v>
      </c>
      <c r="G411" s="1">
        <v>46026.078472222223</v>
      </c>
      <c r="H411" s="4">
        <f t="shared" si="6"/>
        <v>46026</v>
      </c>
      <c r="I411">
        <v>4999</v>
      </c>
      <c r="J411" s="2" t="s">
        <v>12</v>
      </c>
      <c r="K411" s="2" t="s">
        <v>10</v>
      </c>
      <c r="L411">
        <v>25</v>
      </c>
      <c r="M411">
        <f>IF(COUNTIFS($D$2:$D411, $D411, $H$2:$H411, $H411)=1, 1, 0)</f>
        <v>1</v>
      </c>
      <c r="N411">
        <f>_xlfn.IFNA(HLOOKUP($J411, fee_reference!$B$1:$E$2, 2, FALSE), 0)</f>
        <v>0</v>
      </c>
    </row>
    <row r="412" spans="1:14" x14ac:dyDescent="0.3">
      <c r="A412" s="2" t="s">
        <v>425</v>
      </c>
      <c r="B412">
        <v>85</v>
      </c>
      <c r="C412">
        <v>21</v>
      </c>
      <c r="D412" t="str">
        <f>IFERROR(VLOOKUP($C412,merchants!$A$2:$D$41,2,FALSE),"Merchant not found")</f>
        <v>Merchant_021</v>
      </c>
      <c r="E412" t="str">
        <f>IFERROR(VLOOKUP($C412, merchants!$A$2:$D$41, 4, FALSE), "Merchant not found")</f>
        <v>East</v>
      </c>
      <c r="F412" t="str">
        <f>IFERROR(VLOOKUP($C412, merchants!$A$2:$D$41, 3, FALSE), "Merchant not found")</f>
        <v>food_delivery</v>
      </c>
      <c r="G412" s="1">
        <v>46041.714583333334</v>
      </c>
      <c r="H412" s="4">
        <f t="shared" si="6"/>
        <v>46041</v>
      </c>
      <c r="I412">
        <v>99</v>
      </c>
      <c r="J412" s="2" t="s">
        <v>12</v>
      </c>
      <c r="K412" s="2" t="s">
        <v>10</v>
      </c>
      <c r="L412">
        <v>66</v>
      </c>
      <c r="M412">
        <f>IF(COUNTIFS($D$2:$D412, $D412, $H$2:$H412, $H412)=1, 1, 0)</f>
        <v>1</v>
      </c>
      <c r="N412">
        <f>_xlfn.IFNA(HLOOKUP($J412, fee_reference!$B$1:$E$2, 2, FALSE), 0)</f>
        <v>0</v>
      </c>
    </row>
    <row r="413" spans="1:14" x14ac:dyDescent="0.3">
      <c r="A413" s="2" t="s">
        <v>426</v>
      </c>
      <c r="B413">
        <v>106</v>
      </c>
      <c r="C413">
        <v>38</v>
      </c>
      <c r="D413" t="str">
        <f>IFERROR(VLOOKUP($C413,merchants!$A$2:$D$41,2,FALSE),"Merchant not found")</f>
        <v>Merchant_038</v>
      </c>
      <c r="E413" t="str">
        <f>IFERROR(VLOOKUP($C413, merchants!$A$2:$D$41, 4, FALSE), "Merchant not found")</f>
        <v>East</v>
      </c>
      <c r="F413" t="str">
        <f>IFERROR(VLOOKUP($C413, merchants!$A$2:$D$41, 3, FALSE), "Merchant not found")</f>
        <v>grocery</v>
      </c>
      <c r="G413" s="1">
        <v>46037.154861111114</v>
      </c>
      <c r="H413" s="4">
        <f t="shared" si="6"/>
        <v>46037</v>
      </c>
      <c r="I413">
        <v>499</v>
      </c>
      <c r="J413" s="2" t="s">
        <v>12</v>
      </c>
      <c r="K413" s="2" t="s">
        <v>10</v>
      </c>
      <c r="L413">
        <v>62</v>
      </c>
      <c r="M413">
        <f>IF(COUNTIFS($D$2:$D413, $D413, $H$2:$H413, $H413)=1, 1, 0)</f>
        <v>1</v>
      </c>
      <c r="N413">
        <f>_xlfn.IFNA(HLOOKUP($J413, fee_reference!$B$1:$E$2, 2, FALSE), 0)</f>
        <v>0</v>
      </c>
    </row>
    <row r="414" spans="1:14" x14ac:dyDescent="0.3">
      <c r="A414" s="2" t="s">
        <v>427</v>
      </c>
      <c r="B414">
        <v>29</v>
      </c>
      <c r="C414">
        <v>30</v>
      </c>
      <c r="D414" t="str">
        <f>IFERROR(VLOOKUP($C414,merchants!$A$2:$D$41,2,FALSE),"Merchant not found")</f>
        <v>Merchant_030</v>
      </c>
      <c r="E414" t="str">
        <f>IFERROR(VLOOKUP($C414, merchants!$A$2:$D$41, 4, FALSE), "Merchant not found")</f>
        <v>West</v>
      </c>
      <c r="F414" t="str">
        <f>IFERROR(VLOOKUP($C414, merchants!$A$2:$D$41, 3, FALSE), "Merchant not found")</f>
        <v>travel</v>
      </c>
      <c r="G414" s="1">
        <v>46025.686111111114</v>
      </c>
      <c r="H414" s="4">
        <f t="shared" si="6"/>
        <v>46025</v>
      </c>
      <c r="I414">
        <v>149</v>
      </c>
      <c r="J414" s="2" t="s">
        <v>15</v>
      </c>
      <c r="K414" s="2" t="s">
        <v>10</v>
      </c>
      <c r="L414">
        <v>16</v>
      </c>
      <c r="M414">
        <f>IF(COUNTIFS($D$2:$D414, $D414, $H$2:$H414, $H414)=1, 1, 0)</f>
        <v>1</v>
      </c>
      <c r="N414">
        <f>_xlfn.IFNA(HLOOKUP($J414, fee_reference!$B$1:$E$2, 2, FALSE), 0)</f>
        <v>0.01</v>
      </c>
    </row>
    <row r="415" spans="1:14" x14ac:dyDescent="0.3">
      <c r="A415" s="2" t="s">
        <v>428</v>
      </c>
      <c r="B415">
        <v>289</v>
      </c>
      <c r="C415">
        <v>4</v>
      </c>
      <c r="D415" t="str">
        <f>IFERROR(VLOOKUP($C415,merchants!$A$2:$D$41,2,FALSE),"Merchant not found")</f>
        <v>Merchant_004</v>
      </c>
      <c r="E415" t="str">
        <f>IFERROR(VLOOKUP($C415, merchants!$A$2:$D$41, 4, FALSE), "Merchant not found")</f>
        <v>East</v>
      </c>
      <c r="F415" t="str">
        <f>IFERROR(VLOOKUP($C415, merchants!$A$2:$D$41, 3, FALSE), "Merchant not found")</f>
        <v>ecommerce</v>
      </c>
      <c r="G415" s="1">
        <v>46039.561805555553</v>
      </c>
      <c r="H415" s="4">
        <f t="shared" si="6"/>
        <v>46039</v>
      </c>
      <c r="I415">
        <v>1499</v>
      </c>
      <c r="J415" s="2" t="s">
        <v>24</v>
      </c>
      <c r="K415" s="2" t="s">
        <v>10</v>
      </c>
      <c r="L415">
        <v>71</v>
      </c>
      <c r="M415">
        <f>IF(COUNTIFS($D$2:$D415, $D415, $H$2:$H415, $H415)=1, 1, 0)</f>
        <v>1</v>
      </c>
      <c r="N415">
        <f>_xlfn.IFNA(HLOOKUP($J415, fee_reference!$B$1:$E$2, 2, FALSE), 0)</f>
        <v>2.5000000000000001E-2</v>
      </c>
    </row>
    <row r="416" spans="1:14" x14ac:dyDescent="0.3">
      <c r="A416" s="2" t="s">
        <v>429</v>
      </c>
      <c r="B416">
        <v>158</v>
      </c>
      <c r="C416">
        <v>2</v>
      </c>
      <c r="D416" t="str">
        <f>IFERROR(VLOOKUP($C416,merchants!$A$2:$D$41,2,FALSE),"Merchant not found")</f>
        <v>Merchant_002</v>
      </c>
      <c r="E416" t="str">
        <f>IFERROR(VLOOKUP($C416, merchants!$A$2:$D$41, 4, FALSE), "Merchant not found")</f>
        <v>West</v>
      </c>
      <c r="F416" t="str">
        <f>IFERROR(VLOOKUP($C416, merchants!$A$2:$D$41, 3, FALSE), "Merchant not found")</f>
        <v>grocery</v>
      </c>
      <c r="G416" s="1">
        <v>46037.910416666666</v>
      </c>
      <c r="H416" s="4">
        <f t="shared" si="6"/>
        <v>46037</v>
      </c>
      <c r="I416">
        <v>1499</v>
      </c>
      <c r="J416" s="2" t="s">
        <v>24</v>
      </c>
      <c r="K416" s="2" t="s">
        <v>10</v>
      </c>
      <c r="L416">
        <v>50</v>
      </c>
      <c r="M416">
        <f>IF(COUNTIFS($D$2:$D416, $D416, $H$2:$H416, $H416)=1, 1, 0)</f>
        <v>1</v>
      </c>
      <c r="N416">
        <f>_xlfn.IFNA(HLOOKUP($J416, fee_reference!$B$1:$E$2, 2, FALSE), 0)</f>
        <v>2.5000000000000001E-2</v>
      </c>
    </row>
    <row r="417" spans="1:14" x14ac:dyDescent="0.3">
      <c r="A417" s="2" t="s">
        <v>430</v>
      </c>
      <c r="B417">
        <v>112</v>
      </c>
      <c r="C417">
        <v>38</v>
      </c>
      <c r="D417" t="str">
        <f>IFERROR(VLOOKUP($C417,merchants!$A$2:$D$41,2,FALSE),"Merchant not found")</f>
        <v>Merchant_038</v>
      </c>
      <c r="E417" t="str">
        <f>IFERROR(VLOOKUP($C417, merchants!$A$2:$D$41, 4, FALSE), "Merchant not found")</f>
        <v>East</v>
      </c>
      <c r="F417" t="str">
        <f>IFERROR(VLOOKUP($C417, merchants!$A$2:$D$41, 3, FALSE), "Merchant not found")</f>
        <v>grocery</v>
      </c>
      <c r="G417" s="1">
        <v>46031.032638888886</v>
      </c>
      <c r="H417" s="4">
        <f t="shared" si="6"/>
        <v>46031</v>
      </c>
      <c r="I417">
        <v>49</v>
      </c>
      <c r="J417" s="2" t="s">
        <v>12</v>
      </c>
      <c r="K417" s="2" t="s">
        <v>10</v>
      </c>
      <c r="L417">
        <v>9</v>
      </c>
      <c r="M417">
        <f>IF(COUNTIFS($D$2:$D417, $D417, $H$2:$H417, $H417)=1, 1, 0)</f>
        <v>1</v>
      </c>
      <c r="N417">
        <f>_xlfn.IFNA(HLOOKUP($J417, fee_reference!$B$1:$E$2, 2, FALSE), 0)</f>
        <v>0</v>
      </c>
    </row>
    <row r="418" spans="1:14" x14ac:dyDescent="0.3">
      <c r="A418" s="2" t="s">
        <v>431</v>
      </c>
      <c r="B418">
        <v>33</v>
      </c>
      <c r="C418">
        <v>35</v>
      </c>
      <c r="D418" t="str">
        <f>IFERROR(VLOOKUP($C418,merchants!$A$2:$D$41,2,FALSE),"Merchant not found")</f>
        <v>Merchant_035</v>
      </c>
      <c r="E418" t="str">
        <f>IFERROR(VLOOKUP($C418, merchants!$A$2:$D$41, 4, FALSE), "Merchant not found")</f>
        <v>East</v>
      </c>
      <c r="F418" t="str">
        <f>IFERROR(VLOOKUP($C418, merchants!$A$2:$D$41, 3, FALSE), "Merchant not found")</f>
        <v>recharge</v>
      </c>
      <c r="G418" s="1">
        <v>46024.556944444441</v>
      </c>
      <c r="H418" s="4">
        <f t="shared" si="6"/>
        <v>46024</v>
      </c>
      <c r="I418">
        <v>299</v>
      </c>
      <c r="J418" s="2" t="s">
        <v>24</v>
      </c>
      <c r="K418" s="2" t="s">
        <v>25</v>
      </c>
      <c r="L418">
        <v>7</v>
      </c>
      <c r="M418">
        <f>IF(COUNTIFS($D$2:$D418, $D418, $H$2:$H418, $H418)=1, 1, 0)</f>
        <v>1</v>
      </c>
      <c r="N418">
        <f>_xlfn.IFNA(HLOOKUP($J418, fee_reference!$B$1:$E$2, 2, FALSE), 0)</f>
        <v>2.5000000000000001E-2</v>
      </c>
    </row>
    <row r="419" spans="1:14" x14ac:dyDescent="0.3">
      <c r="A419" s="2" t="s">
        <v>432</v>
      </c>
      <c r="B419">
        <v>242</v>
      </c>
      <c r="C419">
        <v>3</v>
      </c>
      <c r="D419" t="str">
        <f>IFERROR(VLOOKUP($C419,merchants!$A$2:$D$41,2,FALSE),"Merchant not found")</f>
        <v>Merchant_003</v>
      </c>
      <c r="E419" t="str">
        <f>IFERROR(VLOOKUP($C419, merchants!$A$2:$D$41, 4, FALSE), "Merchant not found")</f>
        <v>East</v>
      </c>
      <c r="F419" t="str">
        <f>IFERROR(VLOOKUP($C419, merchants!$A$2:$D$41, 3, FALSE), "Merchant not found")</f>
        <v>grocery</v>
      </c>
      <c r="G419" s="1">
        <v>46052.124305555553</v>
      </c>
      <c r="H419" s="4">
        <f t="shared" si="6"/>
        <v>46052</v>
      </c>
      <c r="I419">
        <v>49</v>
      </c>
      <c r="J419" s="2" t="s">
        <v>12</v>
      </c>
      <c r="K419" s="2" t="s">
        <v>10</v>
      </c>
      <c r="L419">
        <v>36</v>
      </c>
      <c r="M419">
        <f>IF(COUNTIFS($D$2:$D419, $D419, $H$2:$H419, $H419)=1, 1, 0)</f>
        <v>1</v>
      </c>
      <c r="N419">
        <f>_xlfn.IFNA(HLOOKUP($J419, fee_reference!$B$1:$E$2, 2, FALSE), 0)</f>
        <v>0</v>
      </c>
    </row>
    <row r="420" spans="1:14" x14ac:dyDescent="0.3">
      <c r="A420" s="2" t="s">
        <v>433</v>
      </c>
      <c r="B420">
        <v>70</v>
      </c>
      <c r="C420">
        <v>27</v>
      </c>
      <c r="D420" t="str">
        <f>IFERROR(VLOOKUP($C420,merchants!$A$2:$D$41,2,FALSE),"Merchant not found")</f>
        <v>Merchant_027</v>
      </c>
      <c r="E420" t="str">
        <f>IFERROR(VLOOKUP($C420, merchants!$A$2:$D$41, 4, FALSE), "Merchant not found")</f>
        <v>North</v>
      </c>
      <c r="F420" t="str">
        <f>IFERROR(VLOOKUP($C420, merchants!$A$2:$D$41, 3, FALSE), "Merchant not found")</f>
        <v>ecommerce</v>
      </c>
      <c r="G420" s="1">
        <v>46036.242361111108</v>
      </c>
      <c r="H420" s="4">
        <f t="shared" si="6"/>
        <v>46036</v>
      </c>
      <c r="I420">
        <v>149</v>
      </c>
      <c r="J420" s="2" t="s">
        <v>12</v>
      </c>
      <c r="K420" s="2" t="s">
        <v>10</v>
      </c>
      <c r="L420">
        <v>47</v>
      </c>
      <c r="M420">
        <f>IF(COUNTIFS($D$2:$D420, $D420, $H$2:$H420, $H420)=1, 1, 0)</f>
        <v>1</v>
      </c>
      <c r="N420">
        <f>_xlfn.IFNA(HLOOKUP($J420, fee_reference!$B$1:$E$2, 2, FALSE), 0)</f>
        <v>0</v>
      </c>
    </row>
    <row r="421" spans="1:14" x14ac:dyDescent="0.3">
      <c r="A421" s="2" t="s">
        <v>434</v>
      </c>
      <c r="B421">
        <v>194</v>
      </c>
      <c r="C421">
        <v>25</v>
      </c>
      <c r="D421" t="str">
        <f>IFERROR(VLOOKUP($C421,merchants!$A$2:$D$41,2,FALSE),"Merchant not found")</f>
        <v>Merchant_025</v>
      </c>
      <c r="E421" t="str">
        <f>IFERROR(VLOOKUP($C421, merchants!$A$2:$D$41, 4, FALSE), "Merchant not found")</f>
        <v>South</v>
      </c>
      <c r="F421" t="str">
        <f>IFERROR(VLOOKUP($C421, merchants!$A$2:$D$41, 3, FALSE), "Merchant not found")</f>
        <v>travel</v>
      </c>
      <c r="G421" s="1">
        <v>46051.519444444442</v>
      </c>
      <c r="H421" s="4">
        <f t="shared" si="6"/>
        <v>46051</v>
      </c>
      <c r="I421">
        <v>49</v>
      </c>
      <c r="J421" s="2" t="s">
        <v>9</v>
      </c>
      <c r="K421" s="2" t="s">
        <v>10</v>
      </c>
      <c r="L421">
        <v>10</v>
      </c>
      <c r="M421">
        <f>IF(COUNTIFS($D$2:$D421, $D421, $H$2:$H421, $H421)=1, 1, 0)</f>
        <v>1</v>
      </c>
      <c r="N421">
        <f>_xlfn.IFNA(HLOOKUP($J421, fee_reference!$B$1:$E$2, 2, FALSE), 0)</f>
        <v>1.4999999999999999E-2</v>
      </c>
    </row>
    <row r="422" spans="1:14" x14ac:dyDescent="0.3">
      <c r="A422" s="2" t="s">
        <v>435</v>
      </c>
      <c r="B422">
        <v>277</v>
      </c>
      <c r="C422">
        <v>9</v>
      </c>
      <c r="D422" t="str">
        <f>IFERROR(VLOOKUP($C422,merchants!$A$2:$D$41,2,FALSE),"Merchant not found")</f>
        <v>Merchant_009</v>
      </c>
      <c r="E422" t="str">
        <f>IFERROR(VLOOKUP($C422, merchants!$A$2:$D$41, 4, FALSE), "Merchant not found")</f>
        <v>North</v>
      </c>
      <c r="F422" t="str">
        <f>IFERROR(VLOOKUP($C422, merchants!$A$2:$D$41, 3, FALSE), "Merchant not found")</f>
        <v>ecommerce</v>
      </c>
      <c r="G422" s="1">
        <v>46044.913194444445</v>
      </c>
      <c r="H422" s="4">
        <f t="shared" si="6"/>
        <v>46044</v>
      </c>
      <c r="I422">
        <v>799</v>
      </c>
      <c r="J422" s="2" t="s">
        <v>12</v>
      </c>
      <c r="K422" s="2" t="s">
        <v>10</v>
      </c>
      <c r="L422">
        <v>83</v>
      </c>
      <c r="M422">
        <f>IF(COUNTIFS($D$2:$D422, $D422, $H$2:$H422, $H422)=1, 1, 0)</f>
        <v>0</v>
      </c>
      <c r="N422">
        <f>_xlfn.IFNA(HLOOKUP($J422, fee_reference!$B$1:$E$2, 2, FALSE), 0)</f>
        <v>0</v>
      </c>
    </row>
    <row r="423" spans="1:14" x14ac:dyDescent="0.3">
      <c r="A423" s="2" t="s">
        <v>436</v>
      </c>
      <c r="B423">
        <v>92</v>
      </c>
      <c r="C423">
        <v>35</v>
      </c>
      <c r="D423" t="str">
        <f>IFERROR(VLOOKUP($C423,merchants!$A$2:$D$41,2,FALSE),"Merchant not found")</f>
        <v>Merchant_035</v>
      </c>
      <c r="E423" t="str">
        <f>IFERROR(VLOOKUP($C423, merchants!$A$2:$D$41, 4, FALSE), "Merchant not found")</f>
        <v>East</v>
      </c>
      <c r="F423" t="str">
        <f>IFERROR(VLOOKUP($C423, merchants!$A$2:$D$41, 3, FALSE), "Merchant not found")</f>
        <v>recharge</v>
      </c>
      <c r="G423" s="1">
        <v>46050.463194444441</v>
      </c>
      <c r="H423" s="4">
        <f t="shared" si="6"/>
        <v>46050</v>
      </c>
      <c r="I423">
        <v>49</v>
      </c>
      <c r="J423" s="2" t="s">
        <v>12</v>
      </c>
      <c r="K423" s="2" t="s">
        <v>10</v>
      </c>
      <c r="L423">
        <v>50</v>
      </c>
      <c r="M423">
        <f>IF(COUNTIFS($D$2:$D423, $D423, $H$2:$H423, $H423)=1, 1, 0)</f>
        <v>1</v>
      </c>
      <c r="N423">
        <f>_xlfn.IFNA(HLOOKUP($J423, fee_reference!$B$1:$E$2, 2, FALSE), 0)</f>
        <v>0</v>
      </c>
    </row>
    <row r="424" spans="1:14" x14ac:dyDescent="0.3">
      <c r="A424" s="2" t="s">
        <v>437</v>
      </c>
      <c r="B424">
        <v>115</v>
      </c>
      <c r="C424">
        <v>1</v>
      </c>
      <c r="D424" t="str">
        <f>IFERROR(VLOOKUP($C424,merchants!$A$2:$D$41,2,FALSE),"Merchant not found")</f>
        <v>Merchant_001</v>
      </c>
      <c r="E424" t="str">
        <f>IFERROR(VLOOKUP($C424, merchants!$A$2:$D$41, 4, FALSE), "Merchant not found")</f>
        <v>South</v>
      </c>
      <c r="F424" t="str">
        <f>IFERROR(VLOOKUP($C424, merchants!$A$2:$D$41, 3, FALSE), "Merchant not found")</f>
        <v>ecommerce</v>
      </c>
      <c r="G424" s="1">
        <v>46039.198611111111</v>
      </c>
      <c r="H424" s="4">
        <f t="shared" si="6"/>
        <v>46039</v>
      </c>
      <c r="I424">
        <v>149</v>
      </c>
      <c r="J424" s="2" t="s">
        <v>9</v>
      </c>
      <c r="K424" s="2" t="s">
        <v>10</v>
      </c>
      <c r="L424">
        <v>96</v>
      </c>
      <c r="M424">
        <f>IF(COUNTIFS($D$2:$D424, $D424, $H$2:$H424, $H424)=1, 1, 0)</f>
        <v>1</v>
      </c>
      <c r="N424">
        <f>_xlfn.IFNA(HLOOKUP($J424, fee_reference!$B$1:$E$2, 2, FALSE), 0)</f>
        <v>1.4999999999999999E-2</v>
      </c>
    </row>
    <row r="425" spans="1:14" x14ac:dyDescent="0.3">
      <c r="A425" s="2" t="s">
        <v>438</v>
      </c>
      <c r="B425">
        <v>345</v>
      </c>
      <c r="C425">
        <v>35</v>
      </c>
      <c r="D425" t="str">
        <f>IFERROR(VLOOKUP($C425,merchants!$A$2:$D$41,2,FALSE),"Merchant not found")</f>
        <v>Merchant_035</v>
      </c>
      <c r="E425" t="str">
        <f>IFERROR(VLOOKUP($C425, merchants!$A$2:$D$41, 4, FALSE), "Merchant not found")</f>
        <v>East</v>
      </c>
      <c r="F425" t="str">
        <f>IFERROR(VLOOKUP($C425, merchants!$A$2:$D$41, 3, FALSE), "Merchant not found")</f>
        <v>recharge</v>
      </c>
      <c r="G425" s="1">
        <v>46023.395138888889</v>
      </c>
      <c r="H425" s="4">
        <f t="shared" si="6"/>
        <v>46023</v>
      </c>
      <c r="I425">
        <v>499</v>
      </c>
      <c r="J425" s="2" t="s">
        <v>24</v>
      </c>
      <c r="K425" s="2" t="s">
        <v>10</v>
      </c>
      <c r="L425">
        <v>54</v>
      </c>
      <c r="M425">
        <f>IF(COUNTIFS($D$2:$D425, $D425, $H$2:$H425, $H425)=1, 1, 0)</f>
        <v>1</v>
      </c>
      <c r="N425">
        <f>_xlfn.IFNA(HLOOKUP($J425, fee_reference!$B$1:$E$2, 2, FALSE), 0)</f>
        <v>2.5000000000000001E-2</v>
      </c>
    </row>
    <row r="426" spans="1:14" x14ac:dyDescent="0.3">
      <c r="A426" s="2" t="s">
        <v>439</v>
      </c>
      <c r="B426">
        <v>118</v>
      </c>
      <c r="C426">
        <v>16</v>
      </c>
      <c r="D426" t="str">
        <f>IFERROR(VLOOKUP($C426,merchants!$A$2:$D$41,2,FALSE),"Merchant not found")</f>
        <v>Merchant_016</v>
      </c>
      <c r="E426" t="str">
        <f>IFERROR(VLOOKUP($C426, merchants!$A$2:$D$41, 4, FALSE), "Merchant not found")</f>
        <v>West</v>
      </c>
      <c r="F426" t="str">
        <f>IFERROR(VLOOKUP($C426, merchants!$A$2:$D$41, 3, FALSE), "Merchant not found")</f>
        <v>bill_payment</v>
      </c>
      <c r="G426" s="1">
        <v>46040.536111111112</v>
      </c>
      <c r="H426" s="4">
        <f t="shared" si="6"/>
        <v>46040</v>
      </c>
      <c r="I426">
        <v>49</v>
      </c>
      <c r="J426" s="2" t="s">
        <v>12</v>
      </c>
      <c r="K426" s="2" t="s">
        <v>10</v>
      </c>
      <c r="L426">
        <v>58</v>
      </c>
      <c r="M426">
        <f>IF(COUNTIFS($D$2:$D426, $D426, $H$2:$H426, $H426)=1, 1, 0)</f>
        <v>1</v>
      </c>
      <c r="N426">
        <f>_xlfn.IFNA(HLOOKUP($J426, fee_reference!$B$1:$E$2, 2, FALSE), 0)</f>
        <v>0</v>
      </c>
    </row>
    <row r="427" spans="1:14" x14ac:dyDescent="0.3">
      <c r="A427" s="2" t="s">
        <v>440</v>
      </c>
      <c r="B427">
        <v>97</v>
      </c>
      <c r="C427">
        <v>8</v>
      </c>
      <c r="D427" t="str">
        <f>IFERROR(VLOOKUP($C427,merchants!$A$2:$D$41,2,FALSE),"Merchant not found")</f>
        <v>Merchant_008</v>
      </c>
      <c r="E427" t="str">
        <f>IFERROR(VLOOKUP($C427, merchants!$A$2:$D$41, 4, FALSE), "Merchant not found")</f>
        <v>North</v>
      </c>
      <c r="F427" t="str">
        <f>IFERROR(VLOOKUP($C427, merchants!$A$2:$D$41, 3, FALSE), "Merchant not found")</f>
        <v>food_delivery</v>
      </c>
      <c r="G427" s="1">
        <v>46034.178472222222</v>
      </c>
      <c r="H427" s="4">
        <f t="shared" si="6"/>
        <v>46034</v>
      </c>
      <c r="I427">
        <v>99</v>
      </c>
      <c r="J427" s="2" t="s">
        <v>15</v>
      </c>
      <c r="K427" s="2" t="s">
        <v>10</v>
      </c>
      <c r="L427">
        <v>4</v>
      </c>
      <c r="M427">
        <f>IF(COUNTIFS($D$2:$D427, $D427, $H$2:$H427, $H427)=1, 1, 0)</f>
        <v>0</v>
      </c>
      <c r="N427">
        <f>_xlfn.IFNA(HLOOKUP($J427, fee_reference!$B$1:$E$2, 2, FALSE), 0)</f>
        <v>0.01</v>
      </c>
    </row>
    <row r="428" spans="1:14" x14ac:dyDescent="0.3">
      <c r="A428" s="2" t="s">
        <v>441</v>
      </c>
      <c r="B428">
        <v>315</v>
      </c>
      <c r="C428">
        <v>2</v>
      </c>
      <c r="D428" t="str">
        <f>IFERROR(VLOOKUP($C428,merchants!$A$2:$D$41,2,FALSE),"Merchant not found")</f>
        <v>Merchant_002</v>
      </c>
      <c r="E428" t="str">
        <f>IFERROR(VLOOKUP($C428, merchants!$A$2:$D$41, 4, FALSE), "Merchant not found")</f>
        <v>West</v>
      </c>
      <c r="F428" t="str">
        <f>IFERROR(VLOOKUP($C428, merchants!$A$2:$D$41, 3, FALSE), "Merchant not found")</f>
        <v>grocery</v>
      </c>
      <c r="G428" s="1">
        <v>46048.893055555556</v>
      </c>
      <c r="H428" s="4">
        <f t="shared" si="6"/>
        <v>46048</v>
      </c>
      <c r="I428">
        <v>299</v>
      </c>
      <c r="J428" s="2" t="s">
        <v>9</v>
      </c>
      <c r="K428" s="2" t="s">
        <v>10</v>
      </c>
      <c r="L428">
        <v>30</v>
      </c>
      <c r="M428">
        <f>IF(COUNTIFS($D$2:$D428, $D428, $H$2:$H428, $H428)=1, 1, 0)</f>
        <v>1</v>
      </c>
      <c r="N428">
        <f>_xlfn.IFNA(HLOOKUP($J428, fee_reference!$B$1:$E$2, 2, FALSE), 0)</f>
        <v>1.4999999999999999E-2</v>
      </c>
    </row>
    <row r="429" spans="1:14" x14ac:dyDescent="0.3">
      <c r="A429" s="2" t="s">
        <v>442</v>
      </c>
      <c r="B429">
        <v>305</v>
      </c>
      <c r="C429">
        <v>3</v>
      </c>
      <c r="D429" t="str">
        <f>IFERROR(VLOOKUP($C429,merchants!$A$2:$D$41,2,FALSE),"Merchant not found")</f>
        <v>Merchant_003</v>
      </c>
      <c r="E429" t="str">
        <f>IFERROR(VLOOKUP($C429, merchants!$A$2:$D$41, 4, FALSE), "Merchant not found")</f>
        <v>East</v>
      </c>
      <c r="F429" t="str">
        <f>IFERROR(VLOOKUP($C429, merchants!$A$2:$D$41, 3, FALSE), "Merchant not found")</f>
        <v>grocery</v>
      </c>
      <c r="G429" s="1">
        <v>46029.087500000001</v>
      </c>
      <c r="H429" s="4">
        <f t="shared" si="6"/>
        <v>46029</v>
      </c>
      <c r="I429">
        <v>299</v>
      </c>
      <c r="J429" s="2" t="s">
        <v>12</v>
      </c>
      <c r="K429" s="2" t="s">
        <v>10</v>
      </c>
      <c r="L429">
        <v>57</v>
      </c>
      <c r="M429">
        <f>IF(COUNTIFS($D$2:$D429, $D429, $H$2:$H429, $H429)=1, 1, 0)</f>
        <v>0</v>
      </c>
      <c r="N429">
        <f>_xlfn.IFNA(HLOOKUP($J429, fee_reference!$B$1:$E$2, 2, FALSE), 0)</f>
        <v>0</v>
      </c>
    </row>
    <row r="430" spans="1:14" x14ac:dyDescent="0.3">
      <c r="A430" s="2" t="s">
        <v>443</v>
      </c>
      <c r="B430">
        <v>25</v>
      </c>
      <c r="C430">
        <v>16</v>
      </c>
      <c r="D430" t="str">
        <f>IFERROR(VLOOKUP($C430,merchants!$A$2:$D$41,2,FALSE),"Merchant not found")</f>
        <v>Merchant_016</v>
      </c>
      <c r="E430" t="str">
        <f>IFERROR(VLOOKUP($C430, merchants!$A$2:$D$41, 4, FALSE), "Merchant not found")</f>
        <v>West</v>
      </c>
      <c r="F430" t="str">
        <f>IFERROR(VLOOKUP($C430, merchants!$A$2:$D$41, 3, FALSE), "Merchant not found")</f>
        <v>bill_payment</v>
      </c>
      <c r="G430" s="1">
        <v>46042.90625</v>
      </c>
      <c r="H430" s="4">
        <f t="shared" si="6"/>
        <v>46042</v>
      </c>
      <c r="I430">
        <v>299</v>
      </c>
      <c r="J430" s="2" t="s">
        <v>12</v>
      </c>
      <c r="K430" s="2" t="s">
        <v>10</v>
      </c>
      <c r="L430">
        <v>94</v>
      </c>
      <c r="M430">
        <f>IF(COUNTIFS($D$2:$D430, $D430, $H$2:$H430, $H430)=1, 1, 0)</f>
        <v>1</v>
      </c>
      <c r="N430">
        <f>_xlfn.IFNA(HLOOKUP($J430, fee_reference!$B$1:$E$2, 2, FALSE), 0)</f>
        <v>0</v>
      </c>
    </row>
    <row r="431" spans="1:14" x14ac:dyDescent="0.3">
      <c r="A431" s="2" t="s">
        <v>444</v>
      </c>
      <c r="B431">
        <v>120</v>
      </c>
      <c r="C431">
        <v>35</v>
      </c>
      <c r="D431" t="str">
        <f>IFERROR(VLOOKUP($C431,merchants!$A$2:$D$41,2,FALSE),"Merchant not found")</f>
        <v>Merchant_035</v>
      </c>
      <c r="E431" t="str">
        <f>IFERROR(VLOOKUP($C431, merchants!$A$2:$D$41, 4, FALSE), "Merchant not found")</f>
        <v>East</v>
      </c>
      <c r="F431" t="str">
        <f>IFERROR(VLOOKUP($C431, merchants!$A$2:$D$41, 3, FALSE), "Merchant not found")</f>
        <v>recharge</v>
      </c>
      <c r="G431" s="1">
        <v>46024.519444444442</v>
      </c>
      <c r="H431" s="4">
        <f t="shared" si="6"/>
        <v>46024</v>
      </c>
      <c r="I431">
        <v>49</v>
      </c>
      <c r="J431" s="2" t="s">
        <v>12</v>
      </c>
      <c r="K431" s="2" t="s">
        <v>10</v>
      </c>
      <c r="L431">
        <v>27</v>
      </c>
      <c r="M431">
        <f>IF(COUNTIFS($D$2:$D431, $D431, $H$2:$H431, $H431)=1, 1, 0)</f>
        <v>0</v>
      </c>
      <c r="N431">
        <f>_xlfn.IFNA(HLOOKUP($J431, fee_reference!$B$1:$E$2, 2, FALSE), 0)</f>
        <v>0</v>
      </c>
    </row>
    <row r="432" spans="1:14" x14ac:dyDescent="0.3">
      <c r="A432" s="2" t="s">
        <v>445</v>
      </c>
      <c r="B432">
        <v>258</v>
      </c>
      <c r="C432">
        <v>19</v>
      </c>
      <c r="D432" t="str">
        <f>IFERROR(VLOOKUP($C432,merchants!$A$2:$D$41,2,FALSE),"Merchant not found")</f>
        <v>Merchant_019</v>
      </c>
      <c r="E432" t="str">
        <f>IFERROR(VLOOKUP($C432, merchants!$A$2:$D$41, 4, FALSE), "Merchant not found")</f>
        <v>North</v>
      </c>
      <c r="F432" t="str">
        <f>IFERROR(VLOOKUP($C432, merchants!$A$2:$D$41, 3, FALSE), "Merchant not found")</f>
        <v>grocery</v>
      </c>
      <c r="G432" s="1">
        <v>46047.047222222223</v>
      </c>
      <c r="H432" s="4">
        <f t="shared" si="6"/>
        <v>46047</v>
      </c>
      <c r="I432">
        <v>49</v>
      </c>
      <c r="J432" s="2" t="s">
        <v>9</v>
      </c>
      <c r="K432" s="2" t="s">
        <v>10</v>
      </c>
      <c r="L432">
        <v>29</v>
      </c>
      <c r="M432">
        <f>IF(COUNTIFS($D$2:$D432, $D432, $H$2:$H432, $H432)=1, 1, 0)</f>
        <v>1</v>
      </c>
      <c r="N432">
        <f>_xlfn.IFNA(HLOOKUP($J432, fee_reference!$B$1:$E$2, 2, FALSE), 0)</f>
        <v>1.4999999999999999E-2</v>
      </c>
    </row>
    <row r="433" spans="1:14" x14ac:dyDescent="0.3">
      <c r="A433" s="2" t="s">
        <v>446</v>
      </c>
      <c r="B433">
        <v>164</v>
      </c>
      <c r="C433">
        <v>37</v>
      </c>
      <c r="D433" t="str">
        <f>IFERROR(VLOOKUP($C433,merchants!$A$2:$D$41,2,FALSE),"Merchant not found")</f>
        <v>Merchant_037</v>
      </c>
      <c r="E433" t="str">
        <f>IFERROR(VLOOKUP($C433, merchants!$A$2:$D$41, 4, FALSE), "Merchant not found")</f>
        <v>South</v>
      </c>
      <c r="F433" t="str">
        <f>IFERROR(VLOOKUP($C433, merchants!$A$2:$D$41, 3, FALSE), "Merchant not found")</f>
        <v>entertainment</v>
      </c>
      <c r="G433" s="1">
        <v>46049.98333333333</v>
      </c>
      <c r="H433" s="4">
        <f t="shared" si="6"/>
        <v>46049</v>
      </c>
      <c r="I433">
        <v>799</v>
      </c>
      <c r="J433" s="2" t="s">
        <v>12</v>
      </c>
      <c r="K433" s="2" t="s">
        <v>10</v>
      </c>
      <c r="L433">
        <v>76</v>
      </c>
      <c r="M433">
        <f>IF(COUNTIFS($D$2:$D433, $D433, $H$2:$H433, $H433)=1, 1, 0)</f>
        <v>1</v>
      </c>
      <c r="N433">
        <f>_xlfn.IFNA(HLOOKUP($J433, fee_reference!$B$1:$E$2, 2, FALSE), 0)</f>
        <v>0</v>
      </c>
    </row>
    <row r="434" spans="1:14" x14ac:dyDescent="0.3">
      <c r="A434" s="2" t="s">
        <v>447</v>
      </c>
      <c r="B434">
        <v>165</v>
      </c>
      <c r="C434">
        <v>16</v>
      </c>
      <c r="D434" t="str">
        <f>IFERROR(VLOOKUP($C434,merchants!$A$2:$D$41,2,FALSE),"Merchant not found")</f>
        <v>Merchant_016</v>
      </c>
      <c r="E434" t="str">
        <f>IFERROR(VLOOKUP($C434, merchants!$A$2:$D$41, 4, FALSE), "Merchant not found")</f>
        <v>West</v>
      </c>
      <c r="F434" t="str">
        <f>IFERROR(VLOOKUP($C434, merchants!$A$2:$D$41, 3, FALSE), "Merchant not found")</f>
        <v>bill_payment</v>
      </c>
      <c r="G434" s="1">
        <v>46047.911111111112</v>
      </c>
      <c r="H434" s="4">
        <f t="shared" si="6"/>
        <v>46047</v>
      </c>
      <c r="I434">
        <v>49</v>
      </c>
      <c r="J434" s="2" t="s">
        <v>9</v>
      </c>
      <c r="K434" s="2" t="s">
        <v>10</v>
      </c>
      <c r="L434">
        <v>38</v>
      </c>
      <c r="M434">
        <f>IF(COUNTIFS($D$2:$D434, $D434, $H$2:$H434, $H434)=1, 1, 0)</f>
        <v>0</v>
      </c>
      <c r="N434">
        <f>_xlfn.IFNA(HLOOKUP($J434, fee_reference!$B$1:$E$2, 2, FALSE), 0)</f>
        <v>1.4999999999999999E-2</v>
      </c>
    </row>
    <row r="435" spans="1:14" x14ac:dyDescent="0.3">
      <c r="A435" s="2" t="s">
        <v>448</v>
      </c>
      <c r="B435">
        <v>267</v>
      </c>
      <c r="C435">
        <v>15</v>
      </c>
      <c r="D435" t="str">
        <f>IFERROR(VLOOKUP($C435,merchants!$A$2:$D$41,2,FALSE),"Merchant not found")</f>
        <v>Merchant_015</v>
      </c>
      <c r="E435" t="str">
        <f>IFERROR(VLOOKUP($C435, merchants!$A$2:$D$41, 4, FALSE), "Merchant not found")</f>
        <v>North</v>
      </c>
      <c r="F435" t="str">
        <f>IFERROR(VLOOKUP($C435, merchants!$A$2:$D$41, 3, FALSE), "Merchant not found")</f>
        <v>travel</v>
      </c>
      <c r="G435" s="1">
        <v>46051.195833333331</v>
      </c>
      <c r="H435" s="4">
        <f t="shared" si="6"/>
        <v>46051</v>
      </c>
      <c r="I435">
        <v>49</v>
      </c>
      <c r="J435" s="2" t="s">
        <v>15</v>
      </c>
      <c r="K435" s="2" t="s">
        <v>10</v>
      </c>
      <c r="L435">
        <v>52</v>
      </c>
      <c r="M435">
        <f>IF(COUNTIFS($D$2:$D435, $D435, $H$2:$H435, $H435)=1, 1, 0)</f>
        <v>1</v>
      </c>
      <c r="N435">
        <f>_xlfn.IFNA(HLOOKUP($J435, fee_reference!$B$1:$E$2, 2, FALSE), 0)</f>
        <v>0.01</v>
      </c>
    </row>
    <row r="436" spans="1:14" x14ac:dyDescent="0.3">
      <c r="A436" s="2" t="s">
        <v>449</v>
      </c>
      <c r="B436">
        <v>286</v>
      </c>
      <c r="C436">
        <v>38</v>
      </c>
      <c r="D436" t="str">
        <f>IFERROR(VLOOKUP($C436,merchants!$A$2:$D$41,2,FALSE),"Merchant not found")</f>
        <v>Merchant_038</v>
      </c>
      <c r="E436" t="str">
        <f>IFERROR(VLOOKUP($C436, merchants!$A$2:$D$41, 4, FALSE), "Merchant not found")</f>
        <v>East</v>
      </c>
      <c r="F436" t="str">
        <f>IFERROR(VLOOKUP($C436, merchants!$A$2:$D$41, 3, FALSE), "Merchant not found")</f>
        <v>grocery</v>
      </c>
      <c r="G436" s="1">
        <v>46032.335416666669</v>
      </c>
      <c r="H436" s="4">
        <f t="shared" si="6"/>
        <v>46032</v>
      </c>
      <c r="I436">
        <v>299</v>
      </c>
      <c r="J436" s="2" t="s">
        <v>9</v>
      </c>
      <c r="K436" s="2" t="s">
        <v>10</v>
      </c>
      <c r="L436">
        <v>94</v>
      </c>
      <c r="M436">
        <f>IF(COUNTIFS($D$2:$D436, $D436, $H$2:$H436, $H436)=1, 1, 0)</f>
        <v>0</v>
      </c>
      <c r="N436">
        <f>_xlfn.IFNA(HLOOKUP($J436, fee_reference!$B$1:$E$2, 2, FALSE), 0)</f>
        <v>1.4999999999999999E-2</v>
      </c>
    </row>
    <row r="437" spans="1:14" x14ac:dyDescent="0.3">
      <c r="A437" s="2" t="s">
        <v>450</v>
      </c>
      <c r="B437">
        <v>348</v>
      </c>
      <c r="C437">
        <v>28</v>
      </c>
      <c r="D437" t="str">
        <f>IFERROR(VLOOKUP($C437,merchants!$A$2:$D$41,2,FALSE),"Merchant not found")</f>
        <v>Merchant_028</v>
      </c>
      <c r="E437" t="str">
        <f>IFERROR(VLOOKUP($C437, merchants!$A$2:$D$41, 4, FALSE), "Merchant not found")</f>
        <v>South</v>
      </c>
      <c r="F437" t="str">
        <f>IFERROR(VLOOKUP($C437, merchants!$A$2:$D$41, 3, FALSE), "Merchant not found")</f>
        <v>ecommerce</v>
      </c>
      <c r="G437" s="1">
        <v>46052.236111111109</v>
      </c>
      <c r="H437" s="4">
        <f t="shared" si="6"/>
        <v>46052</v>
      </c>
      <c r="I437">
        <v>499</v>
      </c>
      <c r="J437" s="2" t="s">
        <v>24</v>
      </c>
      <c r="K437" s="2" t="s">
        <v>10</v>
      </c>
      <c r="L437">
        <v>71</v>
      </c>
      <c r="M437">
        <f>IF(COUNTIFS($D$2:$D437, $D437, $H$2:$H437, $H437)=1, 1, 0)</f>
        <v>1</v>
      </c>
      <c r="N437">
        <f>_xlfn.IFNA(HLOOKUP($J437, fee_reference!$B$1:$E$2, 2, FALSE), 0)</f>
        <v>2.5000000000000001E-2</v>
      </c>
    </row>
    <row r="438" spans="1:14" x14ac:dyDescent="0.3">
      <c r="A438" s="2" t="s">
        <v>451</v>
      </c>
      <c r="B438">
        <v>330</v>
      </c>
      <c r="C438">
        <v>25</v>
      </c>
      <c r="D438" t="str">
        <f>IFERROR(VLOOKUP($C438,merchants!$A$2:$D$41,2,FALSE),"Merchant not found")</f>
        <v>Merchant_025</v>
      </c>
      <c r="E438" t="str">
        <f>IFERROR(VLOOKUP($C438, merchants!$A$2:$D$41, 4, FALSE), "Merchant not found")</f>
        <v>South</v>
      </c>
      <c r="F438" t="str">
        <f>IFERROR(VLOOKUP($C438, merchants!$A$2:$D$41, 3, FALSE), "Merchant not found")</f>
        <v>travel</v>
      </c>
      <c r="G438" s="1">
        <v>46038.056944444441</v>
      </c>
      <c r="H438" s="4">
        <f t="shared" si="6"/>
        <v>46038</v>
      </c>
      <c r="I438">
        <v>799</v>
      </c>
      <c r="J438" s="2" t="s">
        <v>12</v>
      </c>
      <c r="K438" s="2" t="s">
        <v>10</v>
      </c>
      <c r="L438">
        <v>100</v>
      </c>
      <c r="M438">
        <f>IF(COUNTIFS($D$2:$D438, $D438, $H$2:$H438, $H438)=1, 1, 0)</f>
        <v>1</v>
      </c>
      <c r="N438">
        <f>_xlfn.IFNA(HLOOKUP($J438, fee_reference!$B$1:$E$2, 2, FALSE), 0)</f>
        <v>0</v>
      </c>
    </row>
    <row r="439" spans="1:14" x14ac:dyDescent="0.3">
      <c r="A439" s="2" t="s">
        <v>452</v>
      </c>
      <c r="B439">
        <v>214</v>
      </c>
      <c r="C439">
        <v>27</v>
      </c>
      <c r="D439" t="str">
        <f>IFERROR(VLOOKUP($C439,merchants!$A$2:$D$41,2,FALSE),"Merchant not found")</f>
        <v>Merchant_027</v>
      </c>
      <c r="E439" t="str">
        <f>IFERROR(VLOOKUP($C439, merchants!$A$2:$D$41, 4, FALSE), "Merchant not found")</f>
        <v>North</v>
      </c>
      <c r="F439" t="str">
        <f>IFERROR(VLOOKUP($C439, merchants!$A$2:$D$41, 3, FALSE), "Merchant not found")</f>
        <v>ecommerce</v>
      </c>
      <c r="G439" s="1">
        <v>46039.447222222225</v>
      </c>
      <c r="H439" s="4">
        <f t="shared" si="6"/>
        <v>46039</v>
      </c>
      <c r="I439">
        <v>299</v>
      </c>
      <c r="J439" s="2" t="s">
        <v>24</v>
      </c>
      <c r="K439" s="2" t="s">
        <v>10</v>
      </c>
      <c r="L439">
        <v>19</v>
      </c>
      <c r="M439">
        <f>IF(COUNTIFS($D$2:$D439, $D439, $H$2:$H439, $H439)=1, 1, 0)</f>
        <v>0</v>
      </c>
      <c r="N439">
        <f>_xlfn.IFNA(HLOOKUP($J439, fee_reference!$B$1:$E$2, 2, FALSE), 0)</f>
        <v>2.5000000000000001E-2</v>
      </c>
    </row>
    <row r="440" spans="1:14" x14ac:dyDescent="0.3">
      <c r="A440" s="2" t="s">
        <v>453</v>
      </c>
      <c r="B440">
        <v>276</v>
      </c>
      <c r="C440">
        <v>31</v>
      </c>
      <c r="D440" t="str">
        <f>IFERROR(VLOOKUP($C440,merchants!$A$2:$D$41,2,FALSE),"Merchant not found")</f>
        <v>Merchant_031</v>
      </c>
      <c r="E440" t="str">
        <f>IFERROR(VLOOKUP($C440, merchants!$A$2:$D$41, 4, FALSE), "Merchant not found")</f>
        <v>East</v>
      </c>
      <c r="F440" t="str">
        <f>IFERROR(VLOOKUP($C440, merchants!$A$2:$D$41, 3, FALSE), "Merchant not found")</f>
        <v>bill_payment</v>
      </c>
      <c r="G440" s="1">
        <v>46032.507638888892</v>
      </c>
      <c r="H440" s="4">
        <f t="shared" si="6"/>
        <v>46032</v>
      </c>
      <c r="I440">
        <v>499</v>
      </c>
      <c r="J440" s="2" t="s">
        <v>12</v>
      </c>
      <c r="K440" s="2" t="s">
        <v>10</v>
      </c>
      <c r="L440">
        <v>30</v>
      </c>
      <c r="M440">
        <f>IF(COUNTIFS($D$2:$D440, $D440, $H$2:$H440, $H440)=1, 1, 0)</f>
        <v>1</v>
      </c>
      <c r="N440">
        <f>_xlfn.IFNA(HLOOKUP($J440, fee_reference!$B$1:$E$2, 2, FALSE), 0)</f>
        <v>0</v>
      </c>
    </row>
    <row r="441" spans="1:14" x14ac:dyDescent="0.3">
      <c r="A441" s="2" t="s">
        <v>454</v>
      </c>
      <c r="B441">
        <v>74</v>
      </c>
      <c r="C441">
        <v>30</v>
      </c>
      <c r="D441" t="str">
        <f>IFERROR(VLOOKUP($C441,merchants!$A$2:$D$41,2,FALSE),"Merchant not found")</f>
        <v>Merchant_030</v>
      </c>
      <c r="E441" t="str">
        <f>IFERROR(VLOOKUP($C441, merchants!$A$2:$D$41, 4, FALSE), "Merchant not found")</f>
        <v>West</v>
      </c>
      <c r="F441" t="str">
        <f>IFERROR(VLOOKUP($C441, merchants!$A$2:$D$41, 3, FALSE), "Merchant not found")</f>
        <v>travel</v>
      </c>
      <c r="G441" s="1">
        <v>46050.304861111108</v>
      </c>
      <c r="H441" s="4">
        <f t="shared" si="6"/>
        <v>46050</v>
      </c>
      <c r="I441">
        <v>49</v>
      </c>
      <c r="J441" s="2" t="s">
        <v>12</v>
      </c>
      <c r="K441" s="2" t="s">
        <v>10</v>
      </c>
      <c r="L441">
        <v>7</v>
      </c>
      <c r="M441">
        <f>IF(COUNTIFS($D$2:$D441, $D441, $H$2:$H441, $H441)=1, 1, 0)</f>
        <v>1</v>
      </c>
      <c r="N441">
        <f>_xlfn.IFNA(HLOOKUP($J441, fee_reference!$B$1:$E$2, 2, FALSE), 0)</f>
        <v>0</v>
      </c>
    </row>
    <row r="442" spans="1:14" x14ac:dyDescent="0.3">
      <c r="A442" s="2" t="s">
        <v>455</v>
      </c>
      <c r="B442">
        <v>286</v>
      </c>
      <c r="C442">
        <v>34</v>
      </c>
      <c r="D442" t="str">
        <f>IFERROR(VLOOKUP($C442,merchants!$A$2:$D$41,2,FALSE),"Merchant not found")</f>
        <v>Merchant_034</v>
      </c>
      <c r="E442" t="str">
        <f>IFERROR(VLOOKUP($C442, merchants!$A$2:$D$41, 4, FALSE), "Merchant not found")</f>
        <v>South</v>
      </c>
      <c r="F442" t="str">
        <f>IFERROR(VLOOKUP($C442, merchants!$A$2:$D$41, 3, FALSE), "Merchant not found")</f>
        <v>travel</v>
      </c>
      <c r="G442" s="1">
        <v>46040.55972222222</v>
      </c>
      <c r="H442" s="4">
        <f t="shared" si="6"/>
        <v>46040</v>
      </c>
      <c r="I442">
        <v>49</v>
      </c>
      <c r="J442" s="2" t="s">
        <v>24</v>
      </c>
      <c r="K442" s="2" t="s">
        <v>10</v>
      </c>
      <c r="L442">
        <v>17</v>
      </c>
      <c r="M442">
        <f>IF(COUNTIFS($D$2:$D442, $D442, $H$2:$H442, $H442)=1, 1, 0)</f>
        <v>0</v>
      </c>
      <c r="N442">
        <f>_xlfn.IFNA(HLOOKUP($J442, fee_reference!$B$1:$E$2, 2, FALSE), 0)</f>
        <v>2.5000000000000001E-2</v>
      </c>
    </row>
    <row r="443" spans="1:14" x14ac:dyDescent="0.3">
      <c r="A443" s="2" t="s">
        <v>456</v>
      </c>
      <c r="B443">
        <v>105</v>
      </c>
      <c r="C443">
        <v>22</v>
      </c>
      <c r="D443" t="str">
        <f>IFERROR(VLOOKUP($C443,merchants!$A$2:$D$41,2,FALSE),"Merchant not found")</f>
        <v>Merchant_022</v>
      </c>
      <c r="E443" t="str">
        <f>IFERROR(VLOOKUP($C443, merchants!$A$2:$D$41, 4, FALSE), "Merchant not found")</f>
        <v>South</v>
      </c>
      <c r="F443" t="str">
        <f>IFERROR(VLOOKUP($C443, merchants!$A$2:$D$41, 3, FALSE), "Merchant not found")</f>
        <v>travel</v>
      </c>
      <c r="G443" s="1">
        <v>46035.302777777775</v>
      </c>
      <c r="H443" s="4">
        <f t="shared" si="6"/>
        <v>46035</v>
      </c>
      <c r="I443">
        <v>4999</v>
      </c>
      <c r="J443" s="2" t="s">
        <v>12</v>
      </c>
      <c r="K443" s="2" t="s">
        <v>10</v>
      </c>
      <c r="L443">
        <v>82</v>
      </c>
      <c r="M443">
        <f>IF(COUNTIFS($D$2:$D443, $D443, $H$2:$H443, $H443)=1, 1, 0)</f>
        <v>0</v>
      </c>
      <c r="N443">
        <f>_xlfn.IFNA(HLOOKUP($J443, fee_reference!$B$1:$E$2, 2, FALSE), 0)</f>
        <v>0</v>
      </c>
    </row>
    <row r="444" spans="1:14" x14ac:dyDescent="0.3">
      <c r="A444" s="2" t="s">
        <v>457</v>
      </c>
      <c r="B444">
        <v>190</v>
      </c>
      <c r="C444">
        <v>6</v>
      </c>
      <c r="D444" t="str">
        <f>IFERROR(VLOOKUP($C444,merchants!$A$2:$D$41,2,FALSE),"Merchant not found")</f>
        <v>Merchant_006</v>
      </c>
      <c r="E444" t="str">
        <f>IFERROR(VLOOKUP($C444, merchants!$A$2:$D$41, 4, FALSE), "Merchant not found")</f>
        <v>South</v>
      </c>
      <c r="F444" t="str">
        <f>IFERROR(VLOOKUP($C444, merchants!$A$2:$D$41, 3, FALSE), "Merchant not found")</f>
        <v>food_delivery</v>
      </c>
      <c r="G444" s="1">
        <v>46025.620833333334</v>
      </c>
      <c r="H444" s="4">
        <f t="shared" si="6"/>
        <v>46025</v>
      </c>
      <c r="I444">
        <v>799</v>
      </c>
      <c r="J444" s="2" t="s">
        <v>9</v>
      </c>
      <c r="K444" s="2" t="s">
        <v>10</v>
      </c>
      <c r="L444">
        <v>68</v>
      </c>
      <c r="M444">
        <f>IF(COUNTIFS($D$2:$D444, $D444, $H$2:$H444, $H444)=1, 1, 0)</f>
        <v>1</v>
      </c>
      <c r="N444">
        <f>_xlfn.IFNA(HLOOKUP($J444, fee_reference!$B$1:$E$2, 2, FALSE), 0)</f>
        <v>1.4999999999999999E-2</v>
      </c>
    </row>
    <row r="445" spans="1:14" x14ac:dyDescent="0.3">
      <c r="A445" s="2" t="s">
        <v>458</v>
      </c>
      <c r="B445">
        <v>138</v>
      </c>
      <c r="C445">
        <v>25</v>
      </c>
      <c r="D445" t="str">
        <f>IFERROR(VLOOKUP($C445,merchants!$A$2:$D$41,2,FALSE),"Merchant not found")</f>
        <v>Merchant_025</v>
      </c>
      <c r="E445" t="str">
        <f>IFERROR(VLOOKUP($C445, merchants!$A$2:$D$41, 4, FALSE), "Merchant not found")</f>
        <v>South</v>
      </c>
      <c r="F445" t="str">
        <f>IFERROR(VLOOKUP($C445, merchants!$A$2:$D$41, 3, FALSE), "Merchant not found")</f>
        <v>travel</v>
      </c>
      <c r="G445" s="1">
        <v>46046.252083333333</v>
      </c>
      <c r="H445" s="4">
        <f t="shared" si="6"/>
        <v>46046</v>
      </c>
      <c r="I445">
        <v>299</v>
      </c>
      <c r="J445" s="2" t="s">
        <v>9</v>
      </c>
      <c r="K445" s="2" t="s">
        <v>10</v>
      </c>
      <c r="L445">
        <v>86</v>
      </c>
      <c r="M445">
        <f>IF(COUNTIFS($D$2:$D445, $D445, $H$2:$H445, $H445)=1, 1, 0)</f>
        <v>0</v>
      </c>
      <c r="N445">
        <f>_xlfn.IFNA(HLOOKUP($J445, fee_reference!$B$1:$E$2, 2, FALSE), 0)</f>
        <v>1.4999999999999999E-2</v>
      </c>
    </row>
    <row r="446" spans="1:14" x14ac:dyDescent="0.3">
      <c r="A446" s="2" t="s">
        <v>459</v>
      </c>
      <c r="B446">
        <v>38</v>
      </c>
      <c r="C446">
        <v>13</v>
      </c>
      <c r="D446" t="str">
        <f>IFERROR(VLOOKUP($C446,merchants!$A$2:$D$41,2,FALSE),"Merchant not found")</f>
        <v>Merchant_013</v>
      </c>
      <c r="E446" t="str">
        <f>IFERROR(VLOOKUP($C446, merchants!$A$2:$D$41, 4, FALSE), "Merchant not found")</f>
        <v>East</v>
      </c>
      <c r="F446" t="str">
        <f>IFERROR(VLOOKUP($C446, merchants!$A$2:$D$41, 3, FALSE), "Merchant not found")</f>
        <v>travel</v>
      </c>
      <c r="G446" s="1">
        <v>46042.793055555558</v>
      </c>
      <c r="H446" s="4">
        <f t="shared" si="6"/>
        <v>46042</v>
      </c>
      <c r="I446">
        <v>4999</v>
      </c>
      <c r="J446" s="2" t="s">
        <v>15</v>
      </c>
      <c r="K446" s="2" t="s">
        <v>10</v>
      </c>
      <c r="L446">
        <v>97</v>
      </c>
      <c r="M446">
        <f>IF(COUNTIFS($D$2:$D446, $D446, $H$2:$H446, $H446)=1, 1, 0)</f>
        <v>1</v>
      </c>
      <c r="N446">
        <f>_xlfn.IFNA(HLOOKUP($J446, fee_reference!$B$1:$E$2, 2, FALSE), 0)</f>
        <v>0.01</v>
      </c>
    </row>
    <row r="447" spans="1:14" x14ac:dyDescent="0.3">
      <c r="A447" s="2" t="s">
        <v>460</v>
      </c>
      <c r="B447">
        <v>287</v>
      </c>
      <c r="C447">
        <v>14</v>
      </c>
      <c r="D447" t="str">
        <f>IFERROR(VLOOKUP($C447,merchants!$A$2:$D$41,2,FALSE),"Merchant not found")</f>
        <v>Merchant_014</v>
      </c>
      <c r="E447" t="str">
        <f>IFERROR(VLOOKUP($C447, merchants!$A$2:$D$41, 4, FALSE), "Merchant not found")</f>
        <v>East</v>
      </c>
      <c r="F447" t="str">
        <f>IFERROR(VLOOKUP($C447, merchants!$A$2:$D$41, 3, FALSE), "Merchant not found")</f>
        <v>grocery</v>
      </c>
      <c r="G447" s="1">
        <v>46041.987500000003</v>
      </c>
      <c r="H447" s="4">
        <f t="shared" si="6"/>
        <v>46041</v>
      </c>
      <c r="I447">
        <v>99</v>
      </c>
      <c r="J447" s="2" t="s">
        <v>9</v>
      </c>
      <c r="K447" s="2" t="s">
        <v>10</v>
      </c>
      <c r="L447">
        <v>61</v>
      </c>
      <c r="M447">
        <f>IF(COUNTIFS($D$2:$D447, $D447, $H$2:$H447, $H447)=1, 1, 0)</f>
        <v>1</v>
      </c>
      <c r="N447">
        <f>_xlfn.IFNA(HLOOKUP($J447, fee_reference!$B$1:$E$2, 2, FALSE), 0)</f>
        <v>1.4999999999999999E-2</v>
      </c>
    </row>
    <row r="448" spans="1:14" x14ac:dyDescent="0.3">
      <c r="A448" s="2" t="s">
        <v>461</v>
      </c>
      <c r="B448">
        <v>8</v>
      </c>
      <c r="C448">
        <v>14</v>
      </c>
      <c r="D448" t="str">
        <f>IFERROR(VLOOKUP($C448,merchants!$A$2:$D$41,2,FALSE),"Merchant not found")</f>
        <v>Merchant_014</v>
      </c>
      <c r="E448" t="str">
        <f>IFERROR(VLOOKUP($C448, merchants!$A$2:$D$41, 4, FALSE), "Merchant not found")</f>
        <v>East</v>
      </c>
      <c r="F448" t="str">
        <f>IFERROR(VLOOKUP($C448, merchants!$A$2:$D$41, 3, FALSE), "Merchant not found")</f>
        <v>grocery</v>
      </c>
      <c r="G448" s="1">
        <v>46029.429861111108</v>
      </c>
      <c r="H448" s="4">
        <f t="shared" si="6"/>
        <v>46029</v>
      </c>
      <c r="I448">
        <v>49</v>
      </c>
      <c r="J448" s="2" t="s">
        <v>12</v>
      </c>
      <c r="K448" s="2" t="s">
        <v>10</v>
      </c>
      <c r="L448">
        <v>24</v>
      </c>
      <c r="M448">
        <f>IF(COUNTIFS($D$2:$D448, $D448, $H$2:$H448, $H448)=1, 1, 0)</f>
        <v>1</v>
      </c>
      <c r="N448">
        <f>_xlfn.IFNA(HLOOKUP($J448, fee_reference!$B$1:$E$2, 2, FALSE), 0)</f>
        <v>0</v>
      </c>
    </row>
    <row r="449" spans="1:14" x14ac:dyDescent="0.3">
      <c r="A449" s="2" t="s">
        <v>462</v>
      </c>
      <c r="B449">
        <v>246</v>
      </c>
      <c r="C449">
        <v>16</v>
      </c>
      <c r="D449" t="str">
        <f>IFERROR(VLOOKUP($C449,merchants!$A$2:$D$41,2,FALSE),"Merchant not found")</f>
        <v>Merchant_016</v>
      </c>
      <c r="E449" t="str">
        <f>IFERROR(VLOOKUP($C449, merchants!$A$2:$D$41, 4, FALSE), "Merchant not found")</f>
        <v>West</v>
      </c>
      <c r="F449" t="str">
        <f>IFERROR(VLOOKUP($C449, merchants!$A$2:$D$41, 3, FALSE), "Merchant not found")</f>
        <v>bill_payment</v>
      </c>
      <c r="G449" s="1">
        <v>46046.157638888886</v>
      </c>
      <c r="H449" s="4">
        <f t="shared" si="6"/>
        <v>46046</v>
      </c>
      <c r="I449">
        <v>1499</v>
      </c>
      <c r="J449" s="2" t="s">
        <v>9</v>
      </c>
      <c r="K449" s="2" t="s">
        <v>10</v>
      </c>
      <c r="L449">
        <v>89</v>
      </c>
      <c r="M449">
        <f>IF(COUNTIFS($D$2:$D449, $D449, $H$2:$H449, $H449)=1, 1, 0)</f>
        <v>0</v>
      </c>
      <c r="N449">
        <f>_xlfn.IFNA(HLOOKUP($J449, fee_reference!$B$1:$E$2, 2, FALSE), 0)</f>
        <v>1.4999999999999999E-2</v>
      </c>
    </row>
    <row r="450" spans="1:14" x14ac:dyDescent="0.3">
      <c r="A450" s="2" t="s">
        <v>463</v>
      </c>
      <c r="B450">
        <v>204</v>
      </c>
      <c r="C450">
        <v>16</v>
      </c>
      <c r="D450" t="str">
        <f>IFERROR(VLOOKUP($C450,merchants!$A$2:$D$41,2,FALSE),"Merchant not found")</f>
        <v>Merchant_016</v>
      </c>
      <c r="E450" t="str">
        <f>IFERROR(VLOOKUP($C450, merchants!$A$2:$D$41, 4, FALSE), "Merchant not found")</f>
        <v>West</v>
      </c>
      <c r="F450" t="str">
        <f>IFERROR(VLOOKUP($C450, merchants!$A$2:$D$41, 3, FALSE), "Merchant not found")</f>
        <v>bill_payment</v>
      </c>
      <c r="G450" s="1">
        <v>46042.925694444442</v>
      </c>
      <c r="H450" s="4">
        <f t="shared" ref="H450:H513" si="7">INT(G450)</f>
        <v>46042</v>
      </c>
      <c r="I450">
        <v>149</v>
      </c>
      <c r="J450" s="2" t="s">
        <v>12</v>
      </c>
      <c r="K450" s="2" t="s">
        <v>10</v>
      </c>
      <c r="L450">
        <v>70</v>
      </c>
      <c r="M450">
        <f>IF(COUNTIFS($D$2:$D450, $D450, $H$2:$H450, $H450)=1, 1, 0)</f>
        <v>0</v>
      </c>
      <c r="N450">
        <f>_xlfn.IFNA(HLOOKUP($J450, fee_reference!$B$1:$E$2, 2, FALSE), 0)</f>
        <v>0</v>
      </c>
    </row>
    <row r="451" spans="1:14" x14ac:dyDescent="0.3">
      <c r="A451" s="2" t="s">
        <v>464</v>
      </c>
      <c r="B451">
        <v>239</v>
      </c>
      <c r="C451">
        <v>35</v>
      </c>
      <c r="D451" t="str">
        <f>IFERROR(VLOOKUP($C451,merchants!$A$2:$D$41,2,FALSE),"Merchant not found")</f>
        <v>Merchant_035</v>
      </c>
      <c r="E451" t="str">
        <f>IFERROR(VLOOKUP($C451, merchants!$A$2:$D$41, 4, FALSE), "Merchant not found")</f>
        <v>East</v>
      </c>
      <c r="F451" t="str">
        <f>IFERROR(VLOOKUP($C451, merchants!$A$2:$D$41, 3, FALSE), "Merchant not found")</f>
        <v>recharge</v>
      </c>
      <c r="G451" s="1">
        <v>46033.39166666667</v>
      </c>
      <c r="H451" s="4">
        <f t="shared" si="7"/>
        <v>46033</v>
      </c>
      <c r="I451">
        <v>4999</v>
      </c>
      <c r="J451" s="2" t="s">
        <v>12</v>
      </c>
      <c r="K451" s="2" t="s">
        <v>10</v>
      </c>
      <c r="L451">
        <v>83</v>
      </c>
      <c r="M451">
        <f>IF(COUNTIFS($D$2:$D451, $D451, $H$2:$H451, $H451)=1, 1, 0)</f>
        <v>1</v>
      </c>
      <c r="N451">
        <f>_xlfn.IFNA(HLOOKUP($J451, fee_reference!$B$1:$E$2, 2, FALSE), 0)</f>
        <v>0</v>
      </c>
    </row>
    <row r="452" spans="1:14" x14ac:dyDescent="0.3">
      <c r="A452" s="2" t="s">
        <v>465</v>
      </c>
      <c r="B452">
        <v>185</v>
      </c>
      <c r="C452">
        <v>33</v>
      </c>
      <c r="D452" t="str">
        <f>IFERROR(VLOOKUP($C452,merchants!$A$2:$D$41,2,FALSE),"Merchant not found")</f>
        <v>Merchant_033</v>
      </c>
      <c r="E452" t="str">
        <f>IFERROR(VLOOKUP($C452, merchants!$A$2:$D$41, 4, FALSE), "Merchant not found")</f>
        <v>East</v>
      </c>
      <c r="F452" t="str">
        <f>IFERROR(VLOOKUP($C452, merchants!$A$2:$D$41, 3, FALSE), "Merchant not found")</f>
        <v>bill_payment</v>
      </c>
      <c r="G452" s="1">
        <v>46034.386111111111</v>
      </c>
      <c r="H452" s="4">
        <f t="shared" si="7"/>
        <v>46034</v>
      </c>
      <c r="I452">
        <v>299</v>
      </c>
      <c r="J452" s="2" t="s">
        <v>12</v>
      </c>
      <c r="K452" s="2" t="s">
        <v>10</v>
      </c>
      <c r="L452">
        <v>63</v>
      </c>
      <c r="M452">
        <f>IF(COUNTIFS($D$2:$D452, $D452, $H$2:$H452, $H452)=1, 1, 0)</f>
        <v>1</v>
      </c>
      <c r="N452">
        <f>_xlfn.IFNA(HLOOKUP($J452, fee_reference!$B$1:$E$2, 2, FALSE), 0)</f>
        <v>0</v>
      </c>
    </row>
    <row r="453" spans="1:14" x14ac:dyDescent="0.3">
      <c r="A453" s="2" t="s">
        <v>466</v>
      </c>
      <c r="B453">
        <v>241</v>
      </c>
      <c r="C453">
        <v>21</v>
      </c>
      <c r="D453" t="str">
        <f>IFERROR(VLOOKUP($C453,merchants!$A$2:$D$41,2,FALSE),"Merchant not found")</f>
        <v>Merchant_021</v>
      </c>
      <c r="E453" t="str">
        <f>IFERROR(VLOOKUP($C453, merchants!$A$2:$D$41, 4, FALSE), "Merchant not found")</f>
        <v>East</v>
      </c>
      <c r="F453" t="str">
        <f>IFERROR(VLOOKUP($C453, merchants!$A$2:$D$41, 3, FALSE), "Merchant not found")</f>
        <v>food_delivery</v>
      </c>
      <c r="G453" s="1">
        <v>46037.160416666666</v>
      </c>
      <c r="H453" s="4">
        <f t="shared" si="7"/>
        <v>46037</v>
      </c>
      <c r="I453">
        <v>299</v>
      </c>
      <c r="J453" s="2" t="s">
        <v>24</v>
      </c>
      <c r="K453" s="2" t="s">
        <v>10</v>
      </c>
      <c r="L453">
        <v>26</v>
      </c>
      <c r="M453">
        <f>IF(COUNTIFS($D$2:$D453, $D453, $H$2:$H453, $H453)=1, 1, 0)</f>
        <v>1</v>
      </c>
      <c r="N453">
        <f>_xlfn.IFNA(HLOOKUP($J453, fee_reference!$B$1:$E$2, 2, FALSE), 0)</f>
        <v>2.5000000000000001E-2</v>
      </c>
    </row>
    <row r="454" spans="1:14" x14ac:dyDescent="0.3">
      <c r="A454" s="2" t="s">
        <v>467</v>
      </c>
      <c r="B454">
        <v>24</v>
      </c>
      <c r="C454">
        <v>37</v>
      </c>
      <c r="D454" t="str">
        <f>IFERROR(VLOOKUP($C454,merchants!$A$2:$D$41,2,FALSE),"Merchant not found")</f>
        <v>Merchant_037</v>
      </c>
      <c r="E454" t="str">
        <f>IFERROR(VLOOKUP($C454, merchants!$A$2:$D$41, 4, FALSE), "Merchant not found")</f>
        <v>South</v>
      </c>
      <c r="F454" t="str">
        <f>IFERROR(VLOOKUP($C454, merchants!$A$2:$D$41, 3, FALSE), "Merchant not found")</f>
        <v>entertainment</v>
      </c>
      <c r="G454" s="1">
        <v>46034.43472222222</v>
      </c>
      <c r="H454" s="4">
        <f t="shared" si="7"/>
        <v>46034</v>
      </c>
      <c r="I454">
        <v>149</v>
      </c>
      <c r="J454" s="2" t="s">
        <v>12</v>
      </c>
      <c r="K454" s="2" t="s">
        <v>10</v>
      </c>
      <c r="L454">
        <v>28</v>
      </c>
      <c r="M454">
        <f>IF(COUNTIFS($D$2:$D454, $D454, $H$2:$H454, $H454)=1, 1, 0)</f>
        <v>1</v>
      </c>
      <c r="N454">
        <f>_xlfn.IFNA(HLOOKUP($J454, fee_reference!$B$1:$E$2, 2, FALSE), 0)</f>
        <v>0</v>
      </c>
    </row>
    <row r="455" spans="1:14" x14ac:dyDescent="0.3">
      <c r="A455" s="2" t="s">
        <v>468</v>
      </c>
      <c r="B455">
        <v>134</v>
      </c>
      <c r="C455">
        <v>36</v>
      </c>
      <c r="D455" t="str">
        <f>IFERROR(VLOOKUP($C455,merchants!$A$2:$D$41,2,FALSE),"Merchant not found")</f>
        <v>Merchant_036</v>
      </c>
      <c r="E455" t="str">
        <f>IFERROR(VLOOKUP($C455, merchants!$A$2:$D$41, 4, FALSE), "Merchant not found")</f>
        <v>East</v>
      </c>
      <c r="F455" t="str">
        <f>IFERROR(VLOOKUP($C455, merchants!$A$2:$D$41, 3, FALSE), "Merchant not found")</f>
        <v>entertainment</v>
      </c>
      <c r="G455" s="1">
        <v>46046.167361111111</v>
      </c>
      <c r="H455" s="4">
        <f t="shared" si="7"/>
        <v>46046</v>
      </c>
      <c r="I455">
        <v>1499</v>
      </c>
      <c r="J455" s="2" t="s">
        <v>12</v>
      </c>
      <c r="K455" s="2" t="s">
        <v>10</v>
      </c>
      <c r="L455">
        <v>74</v>
      </c>
      <c r="M455">
        <f>IF(COUNTIFS($D$2:$D455, $D455, $H$2:$H455, $H455)=1, 1, 0)</f>
        <v>0</v>
      </c>
      <c r="N455">
        <f>_xlfn.IFNA(HLOOKUP($J455, fee_reference!$B$1:$E$2, 2, FALSE), 0)</f>
        <v>0</v>
      </c>
    </row>
    <row r="456" spans="1:14" x14ac:dyDescent="0.3">
      <c r="A456" s="2" t="s">
        <v>469</v>
      </c>
      <c r="B456">
        <v>152</v>
      </c>
      <c r="C456">
        <v>10</v>
      </c>
      <c r="D456" t="str">
        <f>IFERROR(VLOOKUP($C456,merchants!$A$2:$D$41,2,FALSE),"Merchant not found")</f>
        <v>Merchant_010</v>
      </c>
      <c r="E456" t="str">
        <f>IFERROR(VLOOKUP($C456, merchants!$A$2:$D$41, 4, FALSE), "Merchant not found")</f>
        <v>West</v>
      </c>
      <c r="F456" t="str">
        <f>IFERROR(VLOOKUP($C456, merchants!$A$2:$D$41, 3, FALSE), "Merchant not found")</f>
        <v>grocery</v>
      </c>
      <c r="G456" s="1">
        <v>46041.976388888892</v>
      </c>
      <c r="H456" s="4">
        <f t="shared" si="7"/>
        <v>46041</v>
      </c>
      <c r="I456">
        <v>499</v>
      </c>
      <c r="J456" s="2" t="s">
        <v>9</v>
      </c>
      <c r="K456" s="2" t="s">
        <v>10</v>
      </c>
      <c r="L456">
        <v>25</v>
      </c>
      <c r="M456">
        <f>IF(COUNTIFS($D$2:$D456, $D456, $H$2:$H456, $H456)=1, 1, 0)</f>
        <v>1</v>
      </c>
      <c r="N456">
        <f>_xlfn.IFNA(HLOOKUP($J456, fee_reference!$B$1:$E$2, 2, FALSE), 0)</f>
        <v>1.4999999999999999E-2</v>
      </c>
    </row>
    <row r="457" spans="1:14" x14ac:dyDescent="0.3">
      <c r="A457" s="2" t="s">
        <v>470</v>
      </c>
      <c r="B457">
        <v>292</v>
      </c>
      <c r="C457">
        <v>16</v>
      </c>
      <c r="D457" t="str">
        <f>IFERROR(VLOOKUP($C457,merchants!$A$2:$D$41,2,FALSE),"Merchant not found")</f>
        <v>Merchant_016</v>
      </c>
      <c r="E457" t="str">
        <f>IFERROR(VLOOKUP($C457, merchants!$A$2:$D$41, 4, FALSE), "Merchant not found")</f>
        <v>West</v>
      </c>
      <c r="F457" t="str">
        <f>IFERROR(VLOOKUP($C457, merchants!$A$2:$D$41, 3, FALSE), "Merchant not found")</f>
        <v>bill_payment</v>
      </c>
      <c r="G457" s="1">
        <v>46033.308333333334</v>
      </c>
      <c r="H457" s="4">
        <f t="shared" si="7"/>
        <v>46033</v>
      </c>
      <c r="I457">
        <v>499</v>
      </c>
      <c r="J457" s="2" t="s">
        <v>15</v>
      </c>
      <c r="K457" s="2" t="s">
        <v>10</v>
      </c>
      <c r="L457">
        <v>63</v>
      </c>
      <c r="M457">
        <f>IF(COUNTIFS($D$2:$D457, $D457, $H$2:$H457, $H457)=1, 1, 0)</f>
        <v>1</v>
      </c>
      <c r="N457">
        <f>_xlfn.IFNA(HLOOKUP($J457, fee_reference!$B$1:$E$2, 2, FALSE), 0)</f>
        <v>0.01</v>
      </c>
    </row>
    <row r="458" spans="1:14" x14ac:dyDescent="0.3">
      <c r="A458" s="2" t="s">
        <v>471</v>
      </c>
      <c r="B458">
        <v>173</v>
      </c>
      <c r="C458">
        <v>17</v>
      </c>
      <c r="D458" t="str">
        <f>IFERROR(VLOOKUP($C458,merchants!$A$2:$D$41,2,FALSE),"Merchant not found")</f>
        <v>Merchant_017</v>
      </c>
      <c r="E458" t="str">
        <f>IFERROR(VLOOKUP($C458, merchants!$A$2:$D$41, 4, FALSE), "Merchant not found")</f>
        <v>North</v>
      </c>
      <c r="F458" t="str">
        <f>IFERROR(VLOOKUP($C458, merchants!$A$2:$D$41, 3, FALSE), "Merchant not found")</f>
        <v>grocery</v>
      </c>
      <c r="G458" s="1">
        <v>46040.863194444442</v>
      </c>
      <c r="H458" s="4">
        <f t="shared" si="7"/>
        <v>46040</v>
      </c>
      <c r="I458">
        <v>99</v>
      </c>
      <c r="J458" s="2" t="s">
        <v>15</v>
      </c>
      <c r="K458" s="2" t="s">
        <v>10</v>
      </c>
      <c r="L458">
        <v>97</v>
      </c>
      <c r="M458">
        <f>IF(COUNTIFS($D$2:$D458, $D458, $H$2:$H458, $H458)=1, 1, 0)</f>
        <v>0</v>
      </c>
      <c r="N458">
        <f>_xlfn.IFNA(HLOOKUP($J458, fee_reference!$B$1:$E$2, 2, FALSE), 0)</f>
        <v>0.01</v>
      </c>
    </row>
    <row r="459" spans="1:14" x14ac:dyDescent="0.3">
      <c r="A459" s="2" t="s">
        <v>472</v>
      </c>
      <c r="B459">
        <v>329</v>
      </c>
      <c r="C459">
        <v>32</v>
      </c>
      <c r="D459" t="str">
        <f>IFERROR(VLOOKUP($C459,merchants!$A$2:$D$41,2,FALSE),"Merchant not found")</f>
        <v>Merchant_032</v>
      </c>
      <c r="E459" t="str">
        <f>IFERROR(VLOOKUP($C459, merchants!$A$2:$D$41, 4, FALSE), "Merchant not found")</f>
        <v>West</v>
      </c>
      <c r="F459" t="str">
        <f>IFERROR(VLOOKUP($C459, merchants!$A$2:$D$41, 3, FALSE), "Merchant not found")</f>
        <v>food_delivery</v>
      </c>
      <c r="G459" s="1">
        <v>46049.656944444447</v>
      </c>
      <c r="H459" s="4">
        <f t="shared" si="7"/>
        <v>46049</v>
      </c>
      <c r="I459">
        <v>1499</v>
      </c>
      <c r="J459" s="2" t="s">
        <v>12</v>
      </c>
      <c r="K459" s="2" t="s">
        <v>10</v>
      </c>
      <c r="L459">
        <v>58</v>
      </c>
      <c r="M459">
        <f>IF(COUNTIFS($D$2:$D459, $D459, $H$2:$H459, $H459)=1, 1, 0)</f>
        <v>1</v>
      </c>
      <c r="N459">
        <f>_xlfn.IFNA(HLOOKUP($J459, fee_reference!$B$1:$E$2, 2, FALSE), 0)</f>
        <v>0</v>
      </c>
    </row>
    <row r="460" spans="1:14" x14ac:dyDescent="0.3">
      <c r="A460" s="2" t="s">
        <v>473</v>
      </c>
      <c r="B460">
        <v>181</v>
      </c>
      <c r="C460">
        <v>11</v>
      </c>
      <c r="D460" t="str">
        <f>IFERROR(VLOOKUP($C460,merchants!$A$2:$D$41,2,FALSE),"Merchant not found")</f>
        <v>Merchant_011</v>
      </c>
      <c r="E460" t="str">
        <f>IFERROR(VLOOKUP($C460, merchants!$A$2:$D$41, 4, FALSE), "Merchant not found")</f>
        <v>North</v>
      </c>
      <c r="F460" t="str">
        <f>IFERROR(VLOOKUP($C460, merchants!$A$2:$D$41, 3, FALSE), "Merchant not found")</f>
        <v>ecommerce</v>
      </c>
      <c r="G460" s="1">
        <v>46028.993055555555</v>
      </c>
      <c r="H460" s="4">
        <f t="shared" si="7"/>
        <v>46028</v>
      </c>
      <c r="I460">
        <v>1499</v>
      </c>
      <c r="J460" s="2" t="s">
        <v>12</v>
      </c>
      <c r="K460" s="2" t="s">
        <v>10</v>
      </c>
      <c r="L460">
        <v>17</v>
      </c>
      <c r="M460">
        <f>IF(COUNTIFS($D$2:$D460, $D460, $H$2:$H460, $H460)=1, 1, 0)</f>
        <v>1</v>
      </c>
      <c r="N460">
        <f>_xlfn.IFNA(HLOOKUP($J460, fee_reference!$B$1:$E$2, 2, FALSE), 0)</f>
        <v>0</v>
      </c>
    </row>
    <row r="461" spans="1:14" x14ac:dyDescent="0.3">
      <c r="A461" s="2" t="s">
        <v>474</v>
      </c>
      <c r="B461">
        <v>95</v>
      </c>
      <c r="C461">
        <v>35</v>
      </c>
      <c r="D461" t="str">
        <f>IFERROR(VLOOKUP($C461,merchants!$A$2:$D$41,2,FALSE),"Merchant not found")</f>
        <v>Merchant_035</v>
      </c>
      <c r="E461" t="str">
        <f>IFERROR(VLOOKUP($C461, merchants!$A$2:$D$41, 4, FALSE), "Merchant not found")</f>
        <v>East</v>
      </c>
      <c r="F461" t="str">
        <f>IFERROR(VLOOKUP($C461, merchants!$A$2:$D$41, 3, FALSE), "Merchant not found")</f>
        <v>recharge</v>
      </c>
      <c r="G461" s="1">
        <v>46046.729861111111</v>
      </c>
      <c r="H461" s="4">
        <f t="shared" si="7"/>
        <v>46046</v>
      </c>
      <c r="I461">
        <v>149</v>
      </c>
      <c r="J461" s="2" t="s">
        <v>9</v>
      </c>
      <c r="K461" s="2" t="s">
        <v>10</v>
      </c>
      <c r="L461">
        <v>82</v>
      </c>
      <c r="M461">
        <f>IF(COUNTIFS($D$2:$D461, $D461, $H$2:$H461, $H461)=1, 1, 0)</f>
        <v>1</v>
      </c>
      <c r="N461">
        <f>_xlfn.IFNA(HLOOKUP($J461, fee_reference!$B$1:$E$2, 2, FALSE), 0)</f>
        <v>1.4999999999999999E-2</v>
      </c>
    </row>
    <row r="462" spans="1:14" x14ac:dyDescent="0.3">
      <c r="A462" s="2" t="s">
        <v>475</v>
      </c>
      <c r="B462">
        <v>39</v>
      </c>
      <c r="C462">
        <v>4</v>
      </c>
      <c r="D462" t="str">
        <f>IFERROR(VLOOKUP($C462,merchants!$A$2:$D$41,2,FALSE),"Merchant not found")</f>
        <v>Merchant_004</v>
      </c>
      <c r="E462" t="str">
        <f>IFERROR(VLOOKUP($C462, merchants!$A$2:$D$41, 4, FALSE), "Merchant not found")</f>
        <v>East</v>
      </c>
      <c r="F462" t="str">
        <f>IFERROR(VLOOKUP($C462, merchants!$A$2:$D$41, 3, FALSE), "Merchant not found")</f>
        <v>ecommerce</v>
      </c>
      <c r="G462" s="1">
        <v>46024.668055555558</v>
      </c>
      <c r="H462" s="4">
        <f t="shared" si="7"/>
        <v>46024</v>
      </c>
      <c r="I462">
        <v>149</v>
      </c>
      <c r="J462" s="2" t="s">
        <v>15</v>
      </c>
      <c r="K462" s="2" t="s">
        <v>10</v>
      </c>
      <c r="L462">
        <v>97</v>
      </c>
      <c r="M462">
        <f>IF(COUNTIFS($D$2:$D462, $D462, $H$2:$H462, $H462)=1, 1, 0)</f>
        <v>1</v>
      </c>
      <c r="N462">
        <f>_xlfn.IFNA(HLOOKUP($J462, fee_reference!$B$1:$E$2, 2, FALSE), 0)</f>
        <v>0.01</v>
      </c>
    </row>
    <row r="463" spans="1:14" x14ac:dyDescent="0.3">
      <c r="A463" s="2" t="s">
        <v>476</v>
      </c>
      <c r="B463">
        <v>323</v>
      </c>
      <c r="C463">
        <v>15</v>
      </c>
      <c r="D463" t="str">
        <f>IFERROR(VLOOKUP($C463,merchants!$A$2:$D$41,2,FALSE),"Merchant not found")</f>
        <v>Merchant_015</v>
      </c>
      <c r="E463" t="str">
        <f>IFERROR(VLOOKUP($C463, merchants!$A$2:$D$41, 4, FALSE), "Merchant not found")</f>
        <v>North</v>
      </c>
      <c r="F463" t="str">
        <f>IFERROR(VLOOKUP($C463, merchants!$A$2:$D$41, 3, FALSE), "Merchant not found")</f>
        <v>travel</v>
      </c>
      <c r="G463" s="1">
        <v>46023.547222222223</v>
      </c>
      <c r="H463" s="4">
        <f t="shared" si="7"/>
        <v>46023</v>
      </c>
      <c r="I463">
        <v>499</v>
      </c>
      <c r="J463" s="2" t="s">
        <v>12</v>
      </c>
      <c r="K463" s="2" t="s">
        <v>10</v>
      </c>
      <c r="L463">
        <v>8</v>
      </c>
      <c r="M463">
        <f>IF(COUNTIFS($D$2:$D463, $D463, $H$2:$H463, $H463)=1, 1, 0)</f>
        <v>1</v>
      </c>
      <c r="N463">
        <f>_xlfn.IFNA(HLOOKUP($J463, fee_reference!$B$1:$E$2, 2, FALSE), 0)</f>
        <v>0</v>
      </c>
    </row>
    <row r="464" spans="1:14" x14ac:dyDescent="0.3">
      <c r="A464" s="2" t="s">
        <v>477</v>
      </c>
      <c r="B464">
        <v>112</v>
      </c>
      <c r="C464">
        <v>33</v>
      </c>
      <c r="D464" t="str">
        <f>IFERROR(VLOOKUP($C464,merchants!$A$2:$D$41,2,FALSE),"Merchant not found")</f>
        <v>Merchant_033</v>
      </c>
      <c r="E464" t="str">
        <f>IFERROR(VLOOKUP($C464, merchants!$A$2:$D$41, 4, FALSE), "Merchant not found")</f>
        <v>East</v>
      </c>
      <c r="F464" t="str">
        <f>IFERROR(VLOOKUP($C464, merchants!$A$2:$D$41, 3, FALSE), "Merchant not found")</f>
        <v>bill_payment</v>
      </c>
      <c r="G464" s="1">
        <v>46045.166666666664</v>
      </c>
      <c r="H464" s="4">
        <f t="shared" si="7"/>
        <v>46045</v>
      </c>
      <c r="I464">
        <v>49</v>
      </c>
      <c r="J464" s="2" t="s">
        <v>15</v>
      </c>
      <c r="K464" s="2" t="s">
        <v>10</v>
      </c>
      <c r="L464">
        <v>58</v>
      </c>
      <c r="M464">
        <f>IF(COUNTIFS($D$2:$D464, $D464, $H$2:$H464, $H464)=1, 1, 0)</f>
        <v>1</v>
      </c>
      <c r="N464">
        <f>_xlfn.IFNA(HLOOKUP($J464, fee_reference!$B$1:$E$2, 2, FALSE), 0)</f>
        <v>0.01</v>
      </c>
    </row>
    <row r="465" spans="1:14" x14ac:dyDescent="0.3">
      <c r="A465" s="2" t="s">
        <v>478</v>
      </c>
      <c r="B465">
        <v>327</v>
      </c>
      <c r="C465">
        <v>40</v>
      </c>
      <c r="D465" t="str">
        <f>IFERROR(VLOOKUP($C465,merchants!$A$2:$D$41,2,FALSE),"Merchant not found")</f>
        <v>Merchant_040</v>
      </c>
      <c r="E465" t="str">
        <f>IFERROR(VLOOKUP($C465, merchants!$A$2:$D$41, 4, FALSE), "Merchant not found")</f>
        <v>South</v>
      </c>
      <c r="F465" t="str">
        <f>IFERROR(VLOOKUP($C465, merchants!$A$2:$D$41, 3, FALSE), "Merchant not found")</f>
        <v>entertainment</v>
      </c>
      <c r="G465" s="1">
        <v>46034.068749999999</v>
      </c>
      <c r="H465" s="4">
        <f t="shared" si="7"/>
        <v>46034</v>
      </c>
      <c r="I465">
        <v>99</v>
      </c>
      <c r="J465" s="2" t="s">
        <v>12</v>
      </c>
      <c r="K465" s="2" t="s">
        <v>10</v>
      </c>
      <c r="L465">
        <v>61</v>
      </c>
      <c r="M465">
        <f>IF(COUNTIFS($D$2:$D465, $D465, $H$2:$H465, $H465)=1, 1, 0)</f>
        <v>1</v>
      </c>
      <c r="N465">
        <f>_xlfn.IFNA(HLOOKUP($J465, fee_reference!$B$1:$E$2, 2, FALSE), 0)</f>
        <v>0</v>
      </c>
    </row>
    <row r="466" spans="1:14" x14ac:dyDescent="0.3">
      <c r="A466" s="2" t="s">
        <v>479</v>
      </c>
      <c r="B466">
        <v>4</v>
      </c>
      <c r="C466">
        <v>35</v>
      </c>
      <c r="D466" t="str">
        <f>IFERROR(VLOOKUP($C466,merchants!$A$2:$D$41,2,FALSE),"Merchant not found")</f>
        <v>Merchant_035</v>
      </c>
      <c r="E466" t="str">
        <f>IFERROR(VLOOKUP($C466, merchants!$A$2:$D$41, 4, FALSE), "Merchant not found")</f>
        <v>East</v>
      </c>
      <c r="F466" t="str">
        <f>IFERROR(VLOOKUP($C466, merchants!$A$2:$D$41, 3, FALSE), "Merchant not found")</f>
        <v>recharge</v>
      </c>
      <c r="G466" s="1">
        <v>46044.625694444447</v>
      </c>
      <c r="H466" s="4">
        <f t="shared" si="7"/>
        <v>46044</v>
      </c>
      <c r="I466">
        <v>299</v>
      </c>
      <c r="J466" s="2" t="s">
        <v>12</v>
      </c>
      <c r="K466" s="2" t="s">
        <v>10</v>
      </c>
      <c r="L466">
        <v>70</v>
      </c>
      <c r="M466">
        <f>IF(COUNTIFS($D$2:$D466, $D466, $H$2:$H466, $H466)=1, 1, 0)</f>
        <v>1</v>
      </c>
      <c r="N466">
        <f>_xlfn.IFNA(HLOOKUP($J466, fee_reference!$B$1:$E$2, 2, FALSE), 0)</f>
        <v>0</v>
      </c>
    </row>
    <row r="467" spans="1:14" x14ac:dyDescent="0.3">
      <c r="A467" s="2" t="s">
        <v>480</v>
      </c>
      <c r="B467">
        <v>272</v>
      </c>
      <c r="C467">
        <v>18</v>
      </c>
      <c r="D467" t="str">
        <f>IFERROR(VLOOKUP($C467,merchants!$A$2:$D$41,2,FALSE),"Merchant not found")</f>
        <v>Merchant_018</v>
      </c>
      <c r="E467" t="str">
        <f>IFERROR(VLOOKUP($C467, merchants!$A$2:$D$41, 4, FALSE), "Merchant not found")</f>
        <v>West</v>
      </c>
      <c r="F467" t="str">
        <f>IFERROR(VLOOKUP($C467, merchants!$A$2:$D$41, 3, FALSE), "Merchant not found")</f>
        <v>grocery</v>
      </c>
      <c r="G467" s="1">
        <v>46036.000694444447</v>
      </c>
      <c r="H467" s="4">
        <f t="shared" si="7"/>
        <v>46036</v>
      </c>
      <c r="I467">
        <v>149</v>
      </c>
      <c r="J467" s="2" t="s">
        <v>12</v>
      </c>
      <c r="K467" s="2" t="s">
        <v>10</v>
      </c>
      <c r="L467">
        <v>68</v>
      </c>
      <c r="M467">
        <f>IF(COUNTIFS($D$2:$D467, $D467, $H$2:$H467, $H467)=1, 1, 0)</f>
        <v>1</v>
      </c>
      <c r="N467">
        <f>_xlfn.IFNA(HLOOKUP($J467, fee_reference!$B$1:$E$2, 2, FALSE), 0)</f>
        <v>0</v>
      </c>
    </row>
    <row r="468" spans="1:14" x14ac:dyDescent="0.3">
      <c r="A468" s="2" t="s">
        <v>481</v>
      </c>
      <c r="B468">
        <v>346</v>
      </c>
      <c r="C468">
        <v>28</v>
      </c>
      <c r="D468" t="str">
        <f>IFERROR(VLOOKUP($C468,merchants!$A$2:$D$41,2,FALSE),"Merchant not found")</f>
        <v>Merchant_028</v>
      </c>
      <c r="E468" t="str">
        <f>IFERROR(VLOOKUP($C468, merchants!$A$2:$D$41, 4, FALSE), "Merchant not found")</f>
        <v>South</v>
      </c>
      <c r="F468" t="str">
        <f>IFERROR(VLOOKUP($C468, merchants!$A$2:$D$41, 3, FALSE), "Merchant not found")</f>
        <v>ecommerce</v>
      </c>
      <c r="G468" s="1">
        <v>46032.022222222222</v>
      </c>
      <c r="H468" s="4">
        <f t="shared" si="7"/>
        <v>46032</v>
      </c>
      <c r="I468">
        <v>499</v>
      </c>
      <c r="J468" s="2" t="s">
        <v>12</v>
      </c>
      <c r="K468" s="2" t="s">
        <v>10</v>
      </c>
      <c r="L468">
        <v>22</v>
      </c>
      <c r="M468">
        <f>IF(COUNTIFS($D$2:$D468, $D468, $H$2:$H468, $H468)=1, 1, 0)</f>
        <v>1</v>
      </c>
      <c r="N468">
        <f>_xlfn.IFNA(HLOOKUP($J468, fee_reference!$B$1:$E$2, 2, FALSE), 0)</f>
        <v>0</v>
      </c>
    </row>
    <row r="469" spans="1:14" x14ac:dyDescent="0.3">
      <c r="A469" s="2" t="s">
        <v>482</v>
      </c>
      <c r="B469">
        <v>77</v>
      </c>
      <c r="C469">
        <v>16</v>
      </c>
      <c r="D469" t="str">
        <f>IFERROR(VLOOKUP($C469,merchants!$A$2:$D$41,2,FALSE),"Merchant not found")</f>
        <v>Merchant_016</v>
      </c>
      <c r="E469" t="str">
        <f>IFERROR(VLOOKUP($C469, merchants!$A$2:$D$41, 4, FALSE), "Merchant not found")</f>
        <v>West</v>
      </c>
      <c r="F469" t="str">
        <f>IFERROR(VLOOKUP($C469, merchants!$A$2:$D$41, 3, FALSE), "Merchant not found")</f>
        <v>bill_payment</v>
      </c>
      <c r="G469" s="1">
        <v>46026.147916666669</v>
      </c>
      <c r="H469" s="4">
        <f t="shared" si="7"/>
        <v>46026</v>
      </c>
      <c r="I469">
        <v>49</v>
      </c>
      <c r="J469" s="2" t="s">
        <v>9</v>
      </c>
      <c r="K469" s="2" t="s">
        <v>10</v>
      </c>
      <c r="L469">
        <v>24</v>
      </c>
      <c r="M469">
        <f>IF(COUNTIFS($D$2:$D469, $D469, $H$2:$H469, $H469)=1, 1, 0)</f>
        <v>1</v>
      </c>
      <c r="N469">
        <f>_xlfn.IFNA(HLOOKUP($J469, fee_reference!$B$1:$E$2, 2, FALSE), 0)</f>
        <v>1.4999999999999999E-2</v>
      </c>
    </row>
    <row r="470" spans="1:14" x14ac:dyDescent="0.3">
      <c r="A470" s="2" t="s">
        <v>483</v>
      </c>
      <c r="B470">
        <v>182</v>
      </c>
      <c r="C470">
        <v>18</v>
      </c>
      <c r="D470" t="str">
        <f>IFERROR(VLOOKUP($C470,merchants!$A$2:$D$41,2,FALSE),"Merchant not found")</f>
        <v>Merchant_018</v>
      </c>
      <c r="E470" t="str">
        <f>IFERROR(VLOOKUP($C470, merchants!$A$2:$D$41, 4, FALSE), "Merchant not found")</f>
        <v>West</v>
      </c>
      <c r="F470" t="str">
        <f>IFERROR(VLOOKUP($C470, merchants!$A$2:$D$41, 3, FALSE), "Merchant not found")</f>
        <v>grocery</v>
      </c>
      <c r="G470" s="1">
        <v>46042.677777777775</v>
      </c>
      <c r="H470" s="4">
        <f t="shared" si="7"/>
        <v>46042</v>
      </c>
      <c r="I470">
        <v>149</v>
      </c>
      <c r="J470" s="2" t="s">
        <v>24</v>
      </c>
      <c r="K470" s="2" t="s">
        <v>10</v>
      </c>
      <c r="L470">
        <v>50</v>
      </c>
      <c r="M470">
        <f>IF(COUNTIFS($D$2:$D470, $D470, $H$2:$H470, $H470)=1, 1, 0)</f>
        <v>1</v>
      </c>
      <c r="N470">
        <f>_xlfn.IFNA(HLOOKUP($J470, fee_reference!$B$1:$E$2, 2, FALSE), 0)</f>
        <v>2.5000000000000001E-2</v>
      </c>
    </row>
    <row r="471" spans="1:14" x14ac:dyDescent="0.3">
      <c r="A471" s="2" t="s">
        <v>484</v>
      </c>
      <c r="B471">
        <v>236</v>
      </c>
      <c r="C471">
        <v>37</v>
      </c>
      <c r="D471" t="str">
        <f>IFERROR(VLOOKUP($C471,merchants!$A$2:$D$41,2,FALSE),"Merchant not found")</f>
        <v>Merchant_037</v>
      </c>
      <c r="E471" t="str">
        <f>IFERROR(VLOOKUP($C471, merchants!$A$2:$D$41, 4, FALSE), "Merchant not found")</f>
        <v>South</v>
      </c>
      <c r="F471" t="str">
        <f>IFERROR(VLOOKUP($C471, merchants!$A$2:$D$41, 3, FALSE), "Merchant not found")</f>
        <v>entertainment</v>
      </c>
      <c r="G471" s="1">
        <v>46025.475694444445</v>
      </c>
      <c r="H471" s="4">
        <f t="shared" si="7"/>
        <v>46025</v>
      </c>
      <c r="I471">
        <v>299</v>
      </c>
      <c r="J471" s="2" t="s">
        <v>24</v>
      </c>
      <c r="K471" s="2" t="s">
        <v>10</v>
      </c>
      <c r="L471">
        <v>31</v>
      </c>
      <c r="M471">
        <f>IF(COUNTIFS($D$2:$D471, $D471, $H$2:$H471, $H471)=1, 1, 0)</f>
        <v>1</v>
      </c>
      <c r="N471">
        <f>_xlfn.IFNA(HLOOKUP($J471, fee_reference!$B$1:$E$2, 2, FALSE), 0)</f>
        <v>2.5000000000000001E-2</v>
      </c>
    </row>
    <row r="472" spans="1:14" x14ac:dyDescent="0.3">
      <c r="A472" s="2" t="s">
        <v>485</v>
      </c>
      <c r="B472">
        <v>42</v>
      </c>
      <c r="C472">
        <v>3</v>
      </c>
      <c r="D472" t="str">
        <f>IFERROR(VLOOKUP($C472,merchants!$A$2:$D$41,2,FALSE),"Merchant not found")</f>
        <v>Merchant_003</v>
      </c>
      <c r="E472" t="str">
        <f>IFERROR(VLOOKUP($C472, merchants!$A$2:$D$41, 4, FALSE), "Merchant not found")</f>
        <v>East</v>
      </c>
      <c r="F472" t="str">
        <f>IFERROR(VLOOKUP($C472, merchants!$A$2:$D$41, 3, FALSE), "Merchant not found")</f>
        <v>grocery</v>
      </c>
      <c r="G472" s="1">
        <v>46045.304861111108</v>
      </c>
      <c r="H472" s="4">
        <f t="shared" si="7"/>
        <v>46045</v>
      </c>
      <c r="I472">
        <v>49</v>
      </c>
      <c r="J472" s="2" t="s">
        <v>12</v>
      </c>
      <c r="K472" s="2" t="s">
        <v>10</v>
      </c>
      <c r="L472">
        <v>11</v>
      </c>
      <c r="M472">
        <f>IF(COUNTIFS($D$2:$D472, $D472, $H$2:$H472, $H472)=1, 1, 0)</f>
        <v>1</v>
      </c>
      <c r="N472">
        <f>_xlfn.IFNA(HLOOKUP($J472, fee_reference!$B$1:$E$2, 2, FALSE), 0)</f>
        <v>0</v>
      </c>
    </row>
    <row r="473" spans="1:14" x14ac:dyDescent="0.3">
      <c r="A473" s="2" t="s">
        <v>486</v>
      </c>
      <c r="B473">
        <v>283</v>
      </c>
      <c r="C473">
        <v>31</v>
      </c>
      <c r="D473" t="str">
        <f>IFERROR(VLOOKUP($C473,merchants!$A$2:$D$41,2,FALSE),"Merchant not found")</f>
        <v>Merchant_031</v>
      </c>
      <c r="E473" t="str">
        <f>IFERROR(VLOOKUP($C473, merchants!$A$2:$D$41, 4, FALSE), "Merchant not found")</f>
        <v>East</v>
      </c>
      <c r="F473" t="str">
        <f>IFERROR(VLOOKUP($C473, merchants!$A$2:$D$41, 3, FALSE), "Merchant not found")</f>
        <v>bill_payment</v>
      </c>
      <c r="G473" s="1">
        <v>46035.51666666667</v>
      </c>
      <c r="H473" s="4">
        <f t="shared" si="7"/>
        <v>46035</v>
      </c>
      <c r="I473">
        <v>299</v>
      </c>
      <c r="J473" s="2" t="s">
        <v>15</v>
      </c>
      <c r="K473" s="2" t="s">
        <v>10</v>
      </c>
      <c r="L473">
        <v>7</v>
      </c>
      <c r="M473">
        <f>IF(COUNTIFS($D$2:$D473, $D473, $H$2:$H473, $H473)=1, 1, 0)</f>
        <v>1</v>
      </c>
      <c r="N473">
        <f>_xlfn.IFNA(HLOOKUP($J473, fee_reference!$B$1:$E$2, 2, FALSE), 0)</f>
        <v>0.01</v>
      </c>
    </row>
    <row r="474" spans="1:14" x14ac:dyDescent="0.3">
      <c r="A474" s="2" t="s">
        <v>487</v>
      </c>
      <c r="B474">
        <v>88</v>
      </c>
      <c r="C474">
        <v>6</v>
      </c>
      <c r="D474" t="str">
        <f>IFERROR(VLOOKUP($C474,merchants!$A$2:$D$41,2,FALSE),"Merchant not found")</f>
        <v>Merchant_006</v>
      </c>
      <c r="E474" t="str">
        <f>IFERROR(VLOOKUP($C474, merchants!$A$2:$D$41, 4, FALSE), "Merchant not found")</f>
        <v>South</v>
      </c>
      <c r="F474" t="str">
        <f>IFERROR(VLOOKUP($C474, merchants!$A$2:$D$41, 3, FALSE), "Merchant not found")</f>
        <v>food_delivery</v>
      </c>
      <c r="G474" s="1">
        <v>46043.030555555553</v>
      </c>
      <c r="H474" s="4">
        <f t="shared" si="7"/>
        <v>46043</v>
      </c>
      <c r="I474">
        <v>49</v>
      </c>
      <c r="J474" s="2" t="s">
        <v>12</v>
      </c>
      <c r="K474" s="2" t="s">
        <v>10</v>
      </c>
      <c r="L474">
        <v>63</v>
      </c>
      <c r="M474">
        <f>IF(COUNTIFS($D$2:$D474, $D474, $H$2:$H474, $H474)=1, 1, 0)</f>
        <v>1</v>
      </c>
      <c r="N474">
        <f>_xlfn.IFNA(HLOOKUP($J474, fee_reference!$B$1:$E$2, 2, FALSE), 0)</f>
        <v>0</v>
      </c>
    </row>
    <row r="475" spans="1:14" x14ac:dyDescent="0.3">
      <c r="A475" s="2" t="s">
        <v>488</v>
      </c>
      <c r="B475">
        <v>170</v>
      </c>
      <c r="C475">
        <v>37</v>
      </c>
      <c r="D475" t="str">
        <f>IFERROR(VLOOKUP($C475,merchants!$A$2:$D$41,2,FALSE),"Merchant not found")</f>
        <v>Merchant_037</v>
      </c>
      <c r="E475" t="str">
        <f>IFERROR(VLOOKUP($C475, merchants!$A$2:$D$41, 4, FALSE), "Merchant not found")</f>
        <v>South</v>
      </c>
      <c r="F475" t="str">
        <f>IFERROR(VLOOKUP($C475, merchants!$A$2:$D$41, 3, FALSE), "Merchant not found")</f>
        <v>entertainment</v>
      </c>
      <c r="G475" s="1">
        <v>46050.570138888892</v>
      </c>
      <c r="H475" s="4">
        <f t="shared" si="7"/>
        <v>46050</v>
      </c>
      <c r="I475">
        <v>99</v>
      </c>
      <c r="J475" s="2" t="s">
        <v>12</v>
      </c>
      <c r="K475" s="2" t="s">
        <v>25</v>
      </c>
      <c r="L475">
        <v>12</v>
      </c>
      <c r="M475">
        <f>IF(COUNTIFS($D$2:$D475, $D475, $H$2:$H475, $H475)=1, 1, 0)</f>
        <v>0</v>
      </c>
      <c r="N475">
        <f>_xlfn.IFNA(HLOOKUP($J475, fee_reference!$B$1:$E$2, 2, FALSE), 0)</f>
        <v>0</v>
      </c>
    </row>
    <row r="476" spans="1:14" x14ac:dyDescent="0.3">
      <c r="A476" s="2" t="s">
        <v>489</v>
      </c>
      <c r="B476">
        <v>22</v>
      </c>
      <c r="C476">
        <v>15</v>
      </c>
      <c r="D476" t="str">
        <f>IFERROR(VLOOKUP($C476,merchants!$A$2:$D$41,2,FALSE),"Merchant not found")</f>
        <v>Merchant_015</v>
      </c>
      <c r="E476" t="str">
        <f>IFERROR(VLOOKUP($C476, merchants!$A$2:$D$41, 4, FALSE), "Merchant not found")</f>
        <v>North</v>
      </c>
      <c r="F476" t="str">
        <f>IFERROR(VLOOKUP($C476, merchants!$A$2:$D$41, 3, FALSE), "Merchant not found")</f>
        <v>travel</v>
      </c>
      <c r="G476" s="1">
        <v>46051.706944444442</v>
      </c>
      <c r="H476" s="4">
        <f t="shared" si="7"/>
        <v>46051</v>
      </c>
      <c r="I476">
        <v>49</v>
      </c>
      <c r="J476" s="2" t="s">
        <v>15</v>
      </c>
      <c r="K476" s="2" t="s">
        <v>10</v>
      </c>
      <c r="L476">
        <v>27</v>
      </c>
      <c r="M476">
        <f>IF(COUNTIFS($D$2:$D476, $D476, $H$2:$H476, $H476)=1, 1, 0)</f>
        <v>0</v>
      </c>
      <c r="N476">
        <f>_xlfn.IFNA(HLOOKUP($J476, fee_reference!$B$1:$E$2, 2, FALSE), 0)</f>
        <v>0.01</v>
      </c>
    </row>
    <row r="477" spans="1:14" x14ac:dyDescent="0.3">
      <c r="A477" s="2" t="s">
        <v>490</v>
      </c>
      <c r="B477">
        <v>291</v>
      </c>
      <c r="C477">
        <v>31</v>
      </c>
      <c r="D477" t="str">
        <f>IFERROR(VLOOKUP($C477,merchants!$A$2:$D$41,2,FALSE),"Merchant not found")</f>
        <v>Merchant_031</v>
      </c>
      <c r="E477" t="str">
        <f>IFERROR(VLOOKUP($C477, merchants!$A$2:$D$41, 4, FALSE), "Merchant not found")</f>
        <v>East</v>
      </c>
      <c r="F477" t="str">
        <f>IFERROR(VLOOKUP($C477, merchants!$A$2:$D$41, 3, FALSE), "Merchant not found")</f>
        <v>bill_payment</v>
      </c>
      <c r="G477" s="1">
        <v>46051.955555555556</v>
      </c>
      <c r="H477" s="4">
        <f t="shared" si="7"/>
        <v>46051</v>
      </c>
      <c r="I477">
        <v>49</v>
      </c>
      <c r="J477" s="2" t="s">
        <v>15</v>
      </c>
      <c r="K477" s="2" t="s">
        <v>25</v>
      </c>
      <c r="L477">
        <v>34</v>
      </c>
      <c r="M477">
        <f>IF(COUNTIFS($D$2:$D477, $D477, $H$2:$H477, $H477)=1, 1, 0)</f>
        <v>1</v>
      </c>
      <c r="N477">
        <f>_xlfn.IFNA(HLOOKUP($J477, fee_reference!$B$1:$E$2, 2, FALSE), 0)</f>
        <v>0.01</v>
      </c>
    </row>
    <row r="478" spans="1:14" x14ac:dyDescent="0.3">
      <c r="A478" s="2" t="s">
        <v>491</v>
      </c>
      <c r="B478">
        <v>144</v>
      </c>
      <c r="C478">
        <v>35</v>
      </c>
      <c r="D478" t="str">
        <f>IFERROR(VLOOKUP($C478,merchants!$A$2:$D$41,2,FALSE),"Merchant not found")</f>
        <v>Merchant_035</v>
      </c>
      <c r="E478" t="str">
        <f>IFERROR(VLOOKUP($C478, merchants!$A$2:$D$41, 4, FALSE), "Merchant not found")</f>
        <v>East</v>
      </c>
      <c r="F478" t="str">
        <f>IFERROR(VLOOKUP($C478, merchants!$A$2:$D$41, 3, FALSE), "Merchant not found")</f>
        <v>recharge</v>
      </c>
      <c r="G478" s="1">
        <v>46024.113194444442</v>
      </c>
      <c r="H478" s="4">
        <f t="shared" si="7"/>
        <v>46024</v>
      </c>
      <c r="I478">
        <v>1499</v>
      </c>
      <c r="J478" s="2" t="s">
        <v>12</v>
      </c>
      <c r="K478" s="2" t="s">
        <v>10</v>
      </c>
      <c r="L478">
        <v>72</v>
      </c>
      <c r="M478">
        <f>IF(COUNTIFS($D$2:$D478, $D478, $H$2:$H478, $H478)=1, 1, 0)</f>
        <v>0</v>
      </c>
      <c r="N478">
        <f>_xlfn.IFNA(HLOOKUP($J478, fee_reference!$B$1:$E$2, 2, FALSE), 0)</f>
        <v>0</v>
      </c>
    </row>
    <row r="479" spans="1:14" x14ac:dyDescent="0.3">
      <c r="A479" s="2" t="s">
        <v>492</v>
      </c>
      <c r="B479">
        <v>162</v>
      </c>
      <c r="C479">
        <v>2</v>
      </c>
      <c r="D479" t="str">
        <f>IFERROR(VLOOKUP($C479,merchants!$A$2:$D$41,2,FALSE),"Merchant not found")</f>
        <v>Merchant_002</v>
      </c>
      <c r="E479" t="str">
        <f>IFERROR(VLOOKUP($C479, merchants!$A$2:$D$41, 4, FALSE), "Merchant not found")</f>
        <v>West</v>
      </c>
      <c r="F479" t="str">
        <f>IFERROR(VLOOKUP($C479, merchants!$A$2:$D$41, 3, FALSE), "Merchant not found")</f>
        <v>grocery</v>
      </c>
      <c r="G479" s="1">
        <v>46044.049305555556</v>
      </c>
      <c r="H479" s="4">
        <f t="shared" si="7"/>
        <v>46044</v>
      </c>
      <c r="I479">
        <v>299</v>
      </c>
      <c r="J479" s="2" t="s">
        <v>9</v>
      </c>
      <c r="K479" s="2" t="s">
        <v>10</v>
      </c>
      <c r="L479">
        <v>26</v>
      </c>
      <c r="M479">
        <f>IF(COUNTIFS($D$2:$D479, $D479, $H$2:$H479, $H479)=1, 1, 0)</f>
        <v>1</v>
      </c>
      <c r="N479">
        <f>_xlfn.IFNA(HLOOKUP($J479, fee_reference!$B$1:$E$2, 2, FALSE), 0)</f>
        <v>1.4999999999999999E-2</v>
      </c>
    </row>
    <row r="480" spans="1:14" x14ac:dyDescent="0.3">
      <c r="A480" s="2" t="s">
        <v>493</v>
      </c>
      <c r="B480">
        <v>204</v>
      </c>
      <c r="C480">
        <v>5</v>
      </c>
      <c r="D480" t="str">
        <f>IFERROR(VLOOKUP($C480,merchants!$A$2:$D$41,2,FALSE),"Merchant not found")</f>
        <v>Merchant_005</v>
      </c>
      <c r="E480" t="str">
        <f>IFERROR(VLOOKUP($C480, merchants!$A$2:$D$41, 4, FALSE), "Merchant not found")</f>
        <v>South</v>
      </c>
      <c r="F480" t="str">
        <f>IFERROR(VLOOKUP($C480, merchants!$A$2:$D$41, 3, FALSE), "Merchant not found")</f>
        <v>recharge</v>
      </c>
      <c r="G480" s="1">
        <v>46041.2</v>
      </c>
      <c r="H480" s="4">
        <f t="shared" si="7"/>
        <v>46041</v>
      </c>
      <c r="I480">
        <v>49</v>
      </c>
      <c r="J480" s="2" t="s">
        <v>12</v>
      </c>
      <c r="K480" s="2" t="s">
        <v>10</v>
      </c>
      <c r="L480">
        <v>38</v>
      </c>
      <c r="M480">
        <f>IF(COUNTIFS($D$2:$D480, $D480, $H$2:$H480, $H480)=1, 1, 0)</f>
        <v>1</v>
      </c>
      <c r="N480">
        <f>_xlfn.IFNA(HLOOKUP($J480, fee_reference!$B$1:$E$2, 2, FALSE), 0)</f>
        <v>0</v>
      </c>
    </row>
    <row r="481" spans="1:14" x14ac:dyDescent="0.3">
      <c r="A481" s="2" t="s">
        <v>494</v>
      </c>
      <c r="B481">
        <v>291</v>
      </c>
      <c r="C481">
        <v>25</v>
      </c>
      <c r="D481" t="str">
        <f>IFERROR(VLOOKUP($C481,merchants!$A$2:$D$41,2,FALSE),"Merchant not found")</f>
        <v>Merchant_025</v>
      </c>
      <c r="E481" t="str">
        <f>IFERROR(VLOOKUP($C481, merchants!$A$2:$D$41, 4, FALSE), "Merchant not found")</f>
        <v>South</v>
      </c>
      <c r="F481" t="str">
        <f>IFERROR(VLOOKUP($C481, merchants!$A$2:$D$41, 3, FALSE), "Merchant not found")</f>
        <v>travel</v>
      </c>
      <c r="G481" s="1">
        <v>46028.760416666664</v>
      </c>
      <c r="H481" s="4">
        <f t="shared" si="7"/>
        <v>46028</v>
      </c>
      <c r="I481">
        <v>99</v>
      </c>
      <c r="J481" s="2" t="s">
        <v>9</v>
      </c>
      <c r="K481" s="2" t="s">
        <v>10</v>
      </c>
      <c r="L481">
        <v>86</v>
      </c>
      <c r="M481">
        <f>IF(COUNTIFS($D$2:$D481, $D481, $H$2:$H481, $H481)=1, 1, 0)</f>
        <v>0</v>
      </c>
      <c r="N481">
        <f>_xlfn.IFNA(HLOOKUP($J481, fee_reference!$B$1:$E$2, 2, FALSE), 0)</f>
        <v>1.4999999999999999E-2</v>
      </c>
    </row>
    <row r="482" spans="1:14" x14ac:dyDescent="0.3">
      <c r="A482" s="2" t="s">
        <v>495</v>
      </c>
      <c r="B482">
        <v>197</v>
      </c>
      <c r="C482">
        <v>9</v>
      </c>
      <c r="D482" t="str">
        <f>IFERROR(VLOOKUP($C482,merchants!$A$2:$D$41,2,FALSE),"Merchant not found")</f>
        <v>Merchant_009</v>
      </c>
      <c r="E482" t="str">
        <f>IFERROR(VLOOKUP($C482, merchants!$A$2:$D$41, 4, FALSE), "Merchant not found")</f>
        <v>North</v>
      </c>
      <c r="F482" t="str">
        <f>IFERROR(VLOOKUP($C482, merchants!$A$2:$D$41, 3, FALSE), "Merchant not found")</f>
        <v>ecommerce</v>
      </c>
      <c r="G482" s="1">
        <v>46051.722916666666</v>
      </c>
      <c r="H482" s="4">
        <f t="shared" si="7"/>
        <v>46051</v>
      </c>
      <c r="I482">
        <v>49</v>
      </c>
      <c r="J482" s="2" t="s">
        <v>9</v>
      </c>
      <c r="K482" s="2" t="s">
        <v>25</v>
      </c>
      <c r="L482">
        <v>88</v>
      </c>
      <c r="M482">
        <f>IF(COUNTIFS($D$2:$D482, $D482, $H$2:$H482, $H482)=1, 1, 0)</f>
        <v>1</v>
      </c>
      <c r="N482">
        <f>_xlfn.IFNA(HLOOKUP($J482, fee_reference!$B$1:$E$2, 2, FALSE), 0)</f>
        <v>1.4999999999999999E-2</v>
      </c>
    </row>
    <row r="483" spans="1:14" x14ac:dyDescent="0.3">
      <c r="A483" s="2" t="s">
        <v>496</v>
      </c>
      <c r="B483">
        <v>178</v>
      </c>
      <c r="C483">
        <v>4</v>
      </c>
      <c r="D483" t="str">
        <f>IFERROR(VLOOKUP($C483,merchants!$A$2:$D$41,2,FALSE),"Merchant not found")</f>
        <v>Merchant_004</v>
      </c>
      <c r="E483" t="str">
        <f>IFERROR(VLOOKUP($C483, merchants!$A$2:$D$41, 4, FALSE), "Merchant not found")</f>
        <v>East</v>
      </c>
      <c r="F483" t="str">
        <f>IFERROR(VLOOKUP($C483, merchants!$A$2:$D$41, 3, FALSE), "Merchant not found")</f>
        <v>ecommerce</v>
      </c>
      <c r="G483" s="1">
        <v>46046.105555555558</v>
      </c>
      <c r="H483" s="4">
        <f t="shared" si="7"/>
        <v>46046</v>
      </c>
      <c r="I483">
        <v>1499</v>
      </c>
      <c r="J483" s="2" t="s">
        <v>12</v>
      </c>
      <c r="K483" s="2" t="s">
        <v>10</v>
      </c>
      <c r="L483">
        <v>12</v>
      </c>
      <c r="M483">
        <f>IF(COUNTIFS($D$2:$D483, $D483, $H$2:$H483, $H483)=1, 1, 0)</f>
        <v>1</v>
      </c>
      <c r="N483">
        <f>_xlfn.IFNA(HLOOKUP($J483, fee_reference!$B$1:$E$2, 2, FALSE), 0)</f>
        <v>0</v>
      </c>
    </row>
    <row r="484" spans="1:14" x14ac:dyDescent="0.3">
      <c r="A484" s="2" t="s">
        <v>497</v>
      </c>
      <c r="B484">
        <v>39</v>
      </c>
      <c r="C484">
        <v>22</v>
      </c>
      <c r="D484" t="str">
        <f>IFERROR(VLOOKUP($C484,merchants!$A$2:$D$41,2,FALSE),"Merchant not found")</f>
        <v>Merchant_022</v>
      </c>
      <c r="E484" t="str">
        <f>IFERROR(VLOOKUP($C484, merchants!$A$2:$D$41, 4, FALSE), "Merchant not found")</f>
        <v>South</v>
      </c>
      <c r="F484" t="str">
        <f>IFERROR(VLOOKUP($C484, merchants!$A$2:$D$41, 3, FALSE), "Merchant not found")</f>
        <v>travel</v>
      </c>
      <c r="G484" s="1">
        <v>46036.328472222223</v>
      </c>
      <c r="H484" s="4">
        <f t="shared" si="7"/>
        <v>46036</v>
      </c>
      <c r="I484">
        <v>799</v>
      </c>
      <c r="J484" s="2" t="s">
        <v>15</v>
      </c>
      <c r="K484" s="2" t="s">
        <v>10</v>
      </c>
      <c r="L484">
        <v>77</v>
      </c>
      <c r="M484">
        <f>IF(COUNTIFS($D$2:$D484, $D484, $H$2:$H484, $H484)=1, 1, 0)</f>
        <v>1</v>
      </c>
      <c r="N484">
        <f>_xlfn.IFNA(HLOOKUP($J484, fee_reference!$B$1:$E$2, 2, FALSE), 0)</f>
        <v>0.01</v>
      </c>
    </row>
    <row r="485" spans="1:14" x14ac:dyDescent="0.3">
      <c r="A485" s="2" t="s">
        <v>498</v>
      </c>
      <c r="B485">
        <v>204</v>
      </c>
      <c r="C485">
        <v>21</v>
      </c>
      <c r="D485" t="str">
        <f>IFERROR(VLOOKUP($C485,merchants!$A$2:$D$41,2,FALSE),"Merchant not found")</f>
        <v>Merchant_021</v>
      </c>
      <c r="E485" t="str">
        <f>IFERROR(VLOOKUP($C485, merchants!$A$2:$D$41, 4, FALSE), "Merchant not found")</f>
        <v>East</v>
      </c>
      <c r="F485" t="str">
        <f>IFERROR(VLOOKUP($C485, merchants!$A$2:$D$41, 3, FALSE), "Merchant not found")</f>
        <v>food_delivery</v>
      </c>
      <c r="G485" s="1">
        <v>46047.818055555559</v>
      </c>
      <c r="H485" s="4">
        <f t="shared" si="7"/>
        <v>46047</v>
      </c>
      <c r="I485">
        <v>299</v>
      </c>
      <c r="J485" s="2" t="s">
        <v>9</v>
      </c>
      <c r="K485" s="2" t="s">
        <v>10</v>
      </c>
      <c r="L485">
        <v>3</v>
      </c>
      <c r="M485">
        <f>IF(COUNTIFS($D$2:$D485, $D485, $H$2:$H485, $H485)=1, 1, 0)</f>
        <v>1</v>
      </c>
      <c r="N485">
        <f>_xlfn.IFNA(HLOOKUP($J485, fee_reference!$B$1:$E$2, 2, FALSE), 0)</f>
        <v>1.4999999999999999E-2</v>
      </c>
    </row>
    <row r="486" spans="1:14" x14ac:dyDescent="0.3">
      <c r="A486" s="2" t="s">
        <v>499</v>
      </c>
      <c r="B486">
        <v>231</v>
      </c>
      <c r="C486">
        <v>32</v>
      </c>
      <c r="D486" t="str">
        <f>IFERROR(VLOOKUP($C486,merchants!$A$2:$D$41,2,FALSE),"Merchant not found")</f>
        <v>Merchant_032</v>
      </c>
      <c r="E486" t="str">
        <f>IFERROR(VLOOKUP($C486, merchants!$A$2:$D$41, 4, FALSE), "Merchant not found")</f>
        <v>West</v>
      </c>
      <c r="F486" t="str">
        <f>IFERROR(VLOOKUP($C486, merchants!$A$2:$D$41, 3, FALSE), "Merchant not found")</f>
        <v>food_delivery</v>
      </c>
      <c r="G486" s="1">
        <v>46043.368055555555</v>
      </c>
      <c r="H486" s="4">
        <f t="shared" si="7"/>
        <v>46043</v>
      </c>
      <c r="I486">
        <v>299</v>
      </c>
      <c r="J486" s="2" t="s">
        <v>12</v>
      </c>
      <c r="K486" s="2" t="s">
        <v>10</v>
      </c>
      <c r="L486">
        <v>29</v>
      </c>
      <c r="M486">
        <f>IF(COUNTIFS($D$2:$D486, $D486, $H$2:$H486, $H486)=1, 1, 0)</f>
        <v>0</v>
      </c>
      <c r="N486">
        <f>_xlfn.IFNA(HLOOKUP($J486, fee_reference!$B$1:$E$2, 2, FALSE), 0)</f>
        <v>0</v>
      </c>
    </row>
    <row r="487" spans="1:14" x14ac:dyDescent="0.3">
      <c r="A487" s="2" t="s">
        <v>500</v>
      </c>
      <c r="B487">
        <v>222</v>
      </c>
      <c r="C487">
        <v>12</v>
      </c>
      <c r="D487" t="str">
        <f>IFERROR(VLOOKUP($C487,merchants!$A$2:$D$41,2,FALSE),"Merchant not found")</f>
        <v>Merchant_012</v>
      </c>
      <c r="E487" t="str">
        <f>IFERROR(VLOOKUP($C487, merchants!$A$2:$D$41, 4, FALSE), "Merchant not found")</f>
        <v>East</v>
      </c>
      <c r="F487" t="str">
        <f>IFERROR(VLOOKUP($C487, merchants!$A$2:$D$41, 3, FALSE), "Merchant not found")</f>
        <v>ecommerce</v>
      </c>
      <c r="G487" s="1">
        <v>46034.724999999999</v>
      </c>
      <c r="H487" s="4">
        <f t="shared" si="7"/>
        <v>46034</v>
      </c>
      <c r="I487">
        <v>499</v>
      </c>
      <c r="J487" s="2" t="s">
        <v>9</v>
      </c>
      <c r="K487" s="2" t="s">
        <v>25</v>
      </c>
      <c r="L487">
        <v>87</v>
      </c>
      <c r="M487">
        <f>IF(COUNTIFS($D$2:$D487, $D487, $H$2:$H487, $H487)=1, 1, 0)</f>
        <v>0</v>
      </c>
      <c r="N487">
        <f>_xlfn.IFNA(HLOOKUP($J487, fee_reference!$B$1:$E$2, 2, FALSE), 0)</f>
        <v>1.4999999999999999E-2</v>
      </c>
    </row>
    <row r="488" spans="1:14" x14ac:dyDescent="0.3">
      <c r="A488" s="2" t="s">
        <v>501</v>
      </c>
      <c r="B488">
        <v>44</v>
      </c>
      <c r="C488">
        <v>40</v>
      </c>
      <c r="D488" t="str">
        <f>IFERROR(VLOOKUP($C488,merchants!$A$2:$D$41,2,FALSE),"Merchant not found")</f>
        <v>Merchant_040</v>
      </c>
      <c r="E488" t="str">
        <f>IFERROR(VLOOKUP($C488, merchants!$A$2:$D$41, 4, FALSE), "Merchant not found")</f>
        <v>South</v>
      </c>
      <c r="F488" t="str">
        <f>IFERROR(VLOOKUP($C488, merchants!$A$2:$D$41, 3, FALSE), "Merchant not found")</f>
        <v>entertainment</v>
      </c>
      <c r="G488" s="1">
        <v>46041.89166666667</v>
      </c>
      <c r="H488" s="4">
        <f t="shared" si="7"/>
        <v>46041</v>
      </c>
      <c r="I488">
        <v>499</v>
      </c>
      <c r="J488" s="2" t="s">
        <v>12</v>
      </c>
      <c r="K488" s="2" t="s">
        <v>10</v>
      </c>
      <c r="L488">
        <v>37</v>
      </c>
      <c r="M488">
        <f>IF(COUNTIFS($D$2:$D488, $D488, $H$2:$H488, $H488)=1, 1, 0)</f>
        <v>0</v>
      </c>
      <c r="N488">
        <f>_xlfn.IFNA(HLOOKUP($J488, fee_reference!$B$1:$E$2, 2, FALSE), 0)</f>
        <v>0</v>
      </c>
    </row>
    <row r="489" spans="1:14" x14ac:dyDescent="0.3">
      <c r="A489" s="2" t="s">
        <v>502</v>
      </c>
      <c r="B489">
        <v>38</v>
      </c>
      <c r="C489">
        <v>6</v>
      </c>
      <c r="D489" t="str">
        <f>IFERROR(VLOOKUP($C489,merchants!$A$2:$D$41,2,FALSE),"Merchant not found")</f>
        <v>Merchant_006</v>
      </c>
      <c r="E489" t="str">
        <f>IFERROR(VLOOKUP($C489, merchants!$A$2:$D$41, 4, FALSE), "Merchant not found")</f>
        <v>South</v>
      </c>
      <c r="F489" t="str">
        <f>IFERROR(VLOOKUP($C489, merchants!$A$2:$D$41, 3, FALSE), "Merchant not found")</f>
        <v>food_delivery</v>
      </c>
      <c r="G489" s="1">
        <v>46048.322916666664</v>
      </c>
      <c r="H489" s="4">
        <f t="shared" si="7"/>
        <v>46048</v>
      </c>
      <c r="I489">
        <v>49</v>
      </c>
      <c r="J489" s="2" t="s">
        <v>9</v>
      </c>
      <c r="K489" s="2" t="s">
        <v>10</v>
      </c>
      <c r="L489">
        <v>34</v>
      </c>
      <c r="M489">
        <f>IF(COUNTIFS($D$2:$D489, $D489, $H$2:$H489, $H489)=1, 1, 0)</f>
        <v>0</v>
      </c>
      <c r="N489">
        <f>_xlfn.IFNA(HLOOKUP($J489, fee_reference!$B$1:$E$2, 2, FALSE), 0)</f>
        <v>1.4999999999999999E-2</v>
      </c>
    </row>
    <row r="490" spans="1:14" x14ac:dyDescent="0.3">
      <c r="A490" s="2" t="s">
        <v>503</v>
      </c>
      <c r="B490">
        <v>325</v>
      </c>
      <c r="C490">
        <v>10</v>
      </c>
      <c r="D490" t="str">
        <f>IFERROR(VLOOKUP($C490,merchants!$A$2:$D$41,2,FALSE),"Merchant not found")</f>
        <v>Merchant_010</v>
      </c>
      <c r="E490" t="str">
        <f>IFERROR(VLOOKUP($C490, merchants!$A$2:$D$41, 4, FALSE), "Merchant not found")</f>
        <v>West</v>
      </c>
      <c r="F490" t="str">
        <f>IFERROR(VLOOKUP($C490, merchants!$A$2:$D$41, 3, FALSE), "Merchant not found")</f>
        <v>grocery</v>
      </c>
      <c r="G490" s="1">
        <v>46027.53125</v>
      </c>
      <c r="H490" s="4">
        <f t="shared" si="7"/>
        <v>46027</v>
      </c>
      <c r="I490">
        <v>49</v>
      </c>
      <c r="J490" s="2" t="s">
        <v>15</v>
      </c>
      <c r="K490" s="2" t="s">
        <v>38</v>
      </c>
      <c r="L490">
        <v>94</v>
      </c>
      <c r="M490">
        <f>IF(COUNTIFS($D$2:$D490, $D490, $H$2:$H490, $H490)=1, 1, 0)</f>
        <v>1</v>
      </c>
      <c r="N490">
        <f>_xlfn.IFNA(HLOOKUP($J490, fee_reference!$B$1:$E$2, 2, FALSE), 0)</f>
        <v>0.01</v>
      </c>
    </row>
    <row r="491" spans="1:14" x14ac:dyDescent="0.3">
      <c r="A491" s="2" t="s">
        <v>504</v>
      </c>
      <c r="B491">
        <v>55</v>
      </c>
      <c r="C491">
        <v>6</v>
      </c>
      <c r="D491" t="str">
        <f>IFERROR(VLOOKUP($C491,merchants!$A$2:$D$41,2,FALSE),"Merchant not found")</f>
        <v>Merchant_006</v>
      </c>
      <c r="E491" t="str">
        <f>IFERROR(VLOOKUP($C491, merchants!$A$2:$D$41, 4, FALSE), "Merchant not found")</f>
        <v>South</v>
      </c>
      <c r="F491" t="str">
        <f>IFERROR(VLOOKUP($C491, merchants!$A$2:$D$41, 3, FALSE), "Merchant not found")</f>
        <v>food_delivery</v>
      </c>
      <c r="G491" s="1">
        <v>46035.432638888888</v>
      </c>
      <c r="H491" s="4">
        <f t="shared" si="7"/>
        <v>46035</v>
      </c>
      <c r="I491">
        <v>1499</v>
      </c>
      <c r="J491" s="2" t="s">
        <v>24</v>
      </c>
      <c r="K491" s="2" t="s">
        <v>10</v>
      </c>
      <c r="L491">
        <v>0</v>
      </c>
      <c r="M491">
        <f>IF(COUNTIFS($D$2:$D491, $D491, $H$2:$H491, $H491)=1, 1, 0)</f>
        <v>1</v>
      </c>
      <c r="N491">
        <f>_xlfn.IFNA(HLOOKUP($J491, fee_reference!$B$1:$E$2, 2, FALSE), 0)</f>
        <v>2.5000000000000001E-2</v>
      </c>
    </row>
    <row r="492" spans="1:14" x14ac:dyDescent="0.3">
      <c r="A492" s="2" t="s">
        <v>505</v>
      </c>
      <c r="B492">
        <v>139</v>
      </c>
      <c r="C492">
        <v>7</v>
      </c>
      <c r="D492" t="str">
        <f>IFERROR(VLOOKUP($C492,merchants!$A$2:$D$41,2,FALSE),"Merchant not found")</f>
        <v>Merchant_007</v>
      </c>
      <c r="E492" t="str">
        <f>IFERROR(VLOOKUP($C492, merchants!$A$2:$D$41, 4, FALSE), "Merchant not found")</f>
        <v>East</v>
      </c>
      <c r="F492" t="str">
        <f>IFERROR(VLOOKUP($C492, merchants!$A$2:$D$41, 3, FALSE), "Merchant not found")</f>
        <v>food_delivery</v>
      </c>
      <c r="G492" s="1">
        <v>46032.599305555559</v>
      </c>
      <c r="H492" s="4">
        <f t="shared" si="7"/>
        <v>46032</v>
      </c>
      <c r="I492">
        <v>499</v>
      </c>
      <c r="J492" s="2" t="s">
        <v>24</v>
      </c>
      <c r="K492" s="2" t="s">
        <v>10</v>
      </c>
      <c r="L492">
        <v>16</v>
      </c>
      <c r="M492">
        <f>IF(COUNTIFS($D$2:$D492, $D492, $H$2:$H492, $H492)=1, 1, 0)</f>
        <v>1</v>
      </c>
      <c r="N492">
        <f>_xlfn.IFNA(HLOOKUP($J492, fee_reference!$B$1:$E$2, 2, FALSE), 0)</f>
        <v>2.5000000000000001E-2</v>
      </c>
    </row>
    <row r="493" spans="1:14" x14ac:dyDescent="0.3">
      <c r="A493" s="2" t="s">
        <v>506</v>
      </c>
      <c r="B493">
        <v>230</v>
      </c>
      <c r="C493">
        <v>36</v>
      </c>
      <c r="D493" t="str">
        <f>IFERROR(VLOOKUP($C493,merchants!$A$2:$D$41,2,FALSE),"Merchant not found")</f>
        <v>Merchant_036</v>
      </c>
      <c r="E493" t="str">
        <f>IFERROR(VLOOKUP($C493, merchants!$A$2:$D$41, 4, FALSE), "Merchant not found")</f>
        <v>East</v>
      </c>
      <c r="F493" t="str">
        <f>IFERROR(VLOOKUP($C493, merchants!$A$2:$D$41, 3, FALSE), "Merchant not found")</f>
        <v>entertainment</v>
      </c>
      <c r="G493" s="1">
        <v>46025.227083333331</v>
      </c>
      <c r="H493" s="4">
        <f t="shared" si="7"/>
        <v>46025</v>
      </c>
      <c r="I493">
        <v>99</v>
      </c>
      <c r="J493" s="2" t="s">
        <v>9</v>
      </c>
      <c r="K493" s="2" t="s">
        <v>10</v>
      </c>
      <c r="L493">
        <v>71</v>
      </c>
      <c r="M493">
        <f>IF(COUNTIFS($D$2:$D493, $D493, $H$2:$H493, $H493)=1, 1, 0)</f>
        <v>0</v>
      </c>
      <c r="N493">
        <f>_xlfn.IFNA(HLOOKUP($J493, fee_reference!$B$1:$E$2, 2, FALSE), 0)</f>
        <v>1.4999999999999999E-2</v>
      </c>
    </row>
    <row r="494" spans="1:14" x14ac:dyDescent="0.3">
      <c r="A494" s="2" t="s">
        <v>507</v>
      </c>
      <c r="B494">
        <v>14</v>
      </c>
      <c r="C494">
        <v>6</v>
      </c>
      <c r="D494" t="str">
        <f>IFERROR(VLOOKUP($C494,merchants!$A$2:$D$41,2,FALSE),"Merchant not found")</f>
        <v>Merchant_006</v>
      </c>
      <c r="E494" t="str">
        <f>IFERROR(VLOOKUP($C494, merchants!$A$2:$D$41, 4, FALSE), "Merchant not found")</f>
        <v>South</v>
      </c>
      <c r="F494" t="str">
        <f>IFERROR(VLOOKUP($C494, merchants!$A$2:$D$41, 3, FALSE), "Merchant not found")</f>
        <v>food_delivery</v>
      </c>
      <c r="G494" s="1">
        <v>46039.54583333333</v>
      </c>
      <c r="H494" s="4">
        <f t="shared" si="7"/>
        <v>46039</v>
      </c>
      <c r="I494">
        <v>799</v>
      </c>
      <c r="J494" s="2" t="s">
        <v>24</v>
      </c>
      <c r="K494" s="2" t="s">
        <v>10</v>
      </c>
      <c r="L494">
        <v>45</v>
      </c>
      <c r="M494">
        <f>IF(COUNTIFS($D$2:$D494, $D494, $H$2:$H494, $H494)=1, 1, 0)</f>
        <v>1</v>
      </c>
      <c r="N494">
        <f>_xlfn.IFNA(HLOOKUP($J494, fee_reference!$B$1:$E$2, 2, FALSE), 0)</f>
        <v>2.5000000000000001E-2</v>
      </c>
    </row>
    <row r="495" spans="1:14" x14ac:dyDescent="0.3">
      <c r="A495" s="2" t="s">
        <v>508</v>
      </c>
      <c r="B495">
        <v>307</v>
      </c>
      <c r="C495">
        <v>21</v>
      </c>
      <c r="D495" t="str">
        <f>IFERROR(VLOOKUP($C495,merchants!$A$2:$D$41,2,FALSE),"Merchant not found")</f>
        <v>Merchant_021</v>
      </c>
      <c r="E495" t="str">
        <f>IFERROR(VLOOKUP($C495, merchants!$A$2:$D$41, 4, FALSE), "Merchant not found")</f>
        <v>East</v>
      </c>
      <c r="F495" t="str">
        <f>IFERROR(VLOOKUP($C495, merchants!$A$2:$D$41, 3, FALSE), "Merchant not found")</f>
        <v>food_delivery</v>
      </c>
      <c r="G495" s="1">
        <v>46040.109722222223</v>
      </c>
      <c r="H495" s="4">
        <f t="shared" si="7"/>
        <v>46040</v>
      </c>
      <c r="I495">
        <v>799</v>
      </c>
      <c r="J495" s="2" t="s">
        <v>12</v>
      </c>
      <c r="K495" s="2" t="s">
        <v>10</v>
      </c>
      <c r="L495">
        <v>49</v>
      </c>
      <c r="M495">
        <f>IF(COUNTIFS($D$2:$D495, $D495, $H$2:$H495, $H495)=1, 1, 0)</f>
        <v>1</v>
      </c>
      <c r="N495">
        <f>_xlfn.IFNA(HLOOKUP($J495, fee_reference!$B$1:$E$2, 2, FALSE), 0)</f>
        <v>0</v>
      </c>
    </row>
    <row r="496" spans="1:14" x14ac:dyDescent="0.3">
      <c r="A496" s="2" t="s">
        <v>509</v>
      </c>
      <c r="B496">
        <v>199</v>
      </c>
      <c r="C496">
        <v>6</v>
      </c>
      <c r="D496" t="str">
        <f>IFERROR(VLOOKUP($C496,merchants!$A$2:$D$41,2,FALSE),"Merchant not found")</f>
        <v>Merchant_006</v>
      </c>
      <c r="E496" t="str">
        <f>IFERROR(VLOOKUP($C496, merchants!$A$2:$D$41, 4, FALSE), "Merchant not found")</f>
        <v>South</v>
      </c>
      <c r="F496" t="str">
        <f>IFERROR(VLOOKUP($C496, merchants!$A$2:$D$41, 3, FALSE), "Merchant not found")</f>
        <v>food_delivery</v>
      </c>
      <c r="G496" s="1">
        <v>46023.393055555556</v>
      </c>
      <c r="H496" s="4">
        <f t="shared" si="7"/>
        <v>46023</v>
      </c>
      <c r="I496">
        <v>49</v>
      </c>
      <c r="J496" s="2" t="s">
        <v>12</v>
      </c>
      <c r="K496" s="2" t="s">
        <v>10</v>
      </c>
      <c r="L496">
        <v>92</v>
      </c>
      <c r="M496">
        <f>IF(COUNTIFS($D$2:$D496, $D496, $H$2:$H496, $H496)=1, 1, 0)</f>
        <v>1</v>
      </c>
      <c r="N496">
        <f>_xlfn.IFNA(HLOOKUP($J496, fee_reference!$B$1:$E$2, 2, FALSE), 0)</f>
        <v>0</v>
      </c>
    </row>
    <row r="497" spans="1:14" x14ac:dyDescent="0.3">
      <c r="A497" s="2" t="s">
        <v>510</v>
      </c>
      <c r="B497">
        <v>125</v>
      </c>
      <c r="C497">
        <v>37</v>
      </c>
      <c r="D497" t="str">
        <f>IFERROR(VLOOKUP($C497,merchants!$A$2:$D$41,2,FALSE),"Merchant not found")</f>
        <v>Merchant_037</v>
      </c>
      <c r="E497" t="str">
        <f>IFERROR(VLOOKUP($C497, merchants!$A$2:$D$41, 4, FALSE), "Merchant not found")</f>
        <v>South</v>
      </c>
      <c r="F497" t="str">
        <f>IFERROR(VLOOKUP($C497, merchants!$A$2:$D$41, 3, FALSE), "Merchant not found")</f>
        <v>entertainment</v>
      </c>
      <c r="G497" s="1">
        <v>46051.747916666667</v>
      </c>
      <c r="H497" s="4">
        <f t="shared" si="7"/>
        <v>46051</v>
      </c>
      <c r="I497">
        <v>149</v>
      </c>
      <c r="J497" s="2" t="s">
        <v>9</v>
      </c>
      <c r="K497" s="2" t="s">
        <v>10</v>
      </c>
      <c r="L497">
        <v>66</v>
      </c>
      <c r="M497">
        <f>IF(COUNTIFS($D$2:$D497, $D497, $H$2:$H497, $H497)=1, 1, 0)</f>
        <v>1</v>
      </c>
      <c r="N497">
        <f>_xlfn.IFNA(HLOOKUP($J497, fee_reference!$B$1:$E$2, 2, FALSE), 0)</f>
        <v>1.4999999999999999E-2</v>
      </c>
    </row>
    <row r="498" spans="1:14" x14ac:dyDescent="0.3">
      <c r="A498" s="2" t="s">
        <v>511</v>
      </c>
      <c r="B498">
        <v>87</v>
      </c>
      <c r="C498">
        <v>9</v>
      </c>
      <c r="D498" t="str">
        <f>IFERROR(VLOOKUP($C498,merchants!$A$2:$D$41,2,FALSE),"Merchant not found")</f>
        <v>Merchant_009</v>
      </c>
      <c r="E498" t="str">
        <f>IFERROR(VLOOKUP($C498, merchants!$A$2:$D$41, 4, FALSE), "Merchant not found")</f>
        <v>North</v>
      </c>
      <c r="F498" t="str">
        <f>IFERROR(VLOOKUP($C498, merchants!$A$2:$D$41, 3, FALSE), "Merchant not found")</f>
        <v>ecommerce</v>
      </c>
      <c r="G498" s="1">
        <v>46028.89166666667</v>
      </c>
      <c r="H498" s="4">
        <f t="shared" si="7"/>
        <v>46028</v>
      </c>
      <c r="I498">
        <v>149</v>
      </c>
      <c r="J498" s="2" t="s">
        <v>12</v>
      </c>
      <c r="K498" s="2" t="s">
        <v>10</v>
      </c>
      <c r="L498">
        <v>34</v>
      </c>
      <c r="M498">
        <f>IF(COUNTIFS($D$2:$D498, $D498, $H$2:$H498, $H498)=1, 1, 0)</f>
        <v>1</v>
      </c>
      <c r="N498">
        <f>_xlfn.IFNA(HLOOKUP($J498, fee_reference!$B$1:$E$2, 2, FALSE), 0)</f>
        <v>0</v>
      </c>
    </row>
    <row r="499" spans="1:14" x14ac:dyDescent="0.3">
      <c r="A499" s="2" t="s">
        <v>512</v>
      </c>
      <c r="B499">
        <v>75</v>
      </c>
      <c r="C499">
        <v>5</v>
      </c>
      <c r="D499" t="str">
        <f>IFERROR(VLOOKUP($C499,merchants!$A$2:$D$41,2,FALSE),"Merchant not found")</f>
        <v>Merchant_005</v>
      </c>
      <c r="E499" t="str">
        <f>IFERROR(VLOOKUP($C499, merchants!$A$2:$D$41, 4, FALSE), "Merchant not found")</f>
        <v>South</v>
      </c>
      <c r="F499" t="str">
        <f>IFERROR(VLOOKUP($C499, merchants!$A$2:$D$41, 3, FALSE), "Merchant not found")</f>
        <v>recharge</v>
      </c>
      <c r="G499" s="1">
        <v>46032.354861111111</v>
      </c>
      <c r="H499" s="4">
        <f t="shared" si="7"/>
        <v>46032</v>
      </c>
      <c r="I499">
        <v>99</v>
      </c>
      <c r="J499" s="2" t="s">
        <v>12</v>
      </c>
      <c r="K499" s="2" t="s">
        <v>10</v>
      </c>
      <c r="L499">
        <v>21</v>
      </c>
      <c r="M499">
        <f>IF(COUNTIFS($D$2:$D499, $D499, $H$2:$H499, $H499)=1, 1, 0)</f>
        <v>1</v>
      </c>
      <c r="N499">
        <f>_xlfn.IFNA(HLOOKUP($J499, fee_reference!$B$1:$E$2, 2, FALSE), 0)</f>
        <v>0</v>
      </c>
    </row>
    <row r="500" spans="1:14" x14ac:dyDescent="0.3">
      <c r="A500" s="2" t="s">
        <v>513</v>
      </c>
      <c r="B500">
        <v>154</v>
      </c>
      <c r="C500">
        <v>31</v>
      </c>
      <c r="D500" t="str">
        <f>IFERROR(VLOOKUP($C500,merchants!$A$2:$D$41,2,FALSE),"Merchant not found")</f>
        <v>Merchant_031</v>
      </c>
      <c r="E500" t="str">
        <f>IFERROR(VLOOKUP($C500, merchants!$A$2:$D$41, 4, FALSE), "Merchant not found")</f>
        <v>East</v>
      </c>
      <c r="F500" t="str">
        <f>IFERROR(VLOOKUP($C500, merchants!$A$2:$D$41, 3, FALSE), "Merchant not found")</f>
        <v>bill_payment</v>
      </c>
      <c r="G500" s="1">
        <v>46036.351388888892</v>
      </c>
      <c r="H500" s="4">
        <f t="shared" si="7"/>
        <v>46036</v>
      </c>
      <c r="I500">
        <v>499</v>
      </c>
      <c r="J500" s="2" t="s">
        <v>9</v>
      </c>
      <c r="K500" s="2" t="s">
        <v>10</v>
      </c>
      <c r="L500">
        <v>100</v>
      </c>
      <c r="M500">
        <f>IF(COUNTIFS($D$2:$D500, $D500, $H$2:$H500, $H500)=1, 1, 0)</f>
        <v>1</v>
      </c>
      <c r="N500">
        <f>_xlfn.IFNA(HLOOKUP($J500, fee_reference!$B$1:$E$2, 2, FALSE), 0)</f>
        <v>1.4999999999999999E-2</v>
      </c>
    </row>
    <row r="501" spans="1:14" x14ac:dyDescent="0.3">
      <c r="A501" s="2" t="s">
        <v>514</v>
      </c>
      <c r="B501">
        <v>127</v>
      </c>
      <c r="C501">
        <v>32</v>
      </c>
      <c r="D501" t="str">
        <f>IFERROR(VLOOKUP($C501,merchants!$A$2:$D$41,2,FALSE),"Merchant not found")</f>
        <v>Merchant_032</v>
      </c>
      <c r="E501" t="str">
        <f>IFERROR(VLOOKUP($C501, merchants!$A$2:$D$41, 4, FALSE), "Merchant not found")</f>
        <v>West</v>
      </c>
      <c r="F501" t="str">
        <f>IFERROR(VLOOKUP($C501, merchants!$A$2:$D$41, 3, FALSE), "Merchant not found")</f>
        <v>food_delivery</v>
      </c>
      <c r="G501" s="1">
        <v>46025.469444444447</v>
      </c>
      <c r="H501" s="4">
        <f t="shared" si="7"/>
        <v>46025</v>
      </c>
      <c r="I501">
        <v>149</v>
      </c>
      <c r="J501" s="2" t="s">
        <v>24</v>
      </c>
      <c r="K501" s="2" t="s">
        <v>10</v>
      </c>
      <c r="L501">
        <v>76</v>
      </c>
      <c r="M501">
        <f>IF(COUNTIFS($D$2:$D501, $D501, $H$2:$H501, $H501)=1, 1, 0)</f>
        <v>1</v>
      </c>
      <c r="N501">
        <f>_xlfn.IFNA(HLOOKUP($J501, fee_reference!$B$1:$E$2, 2, FALSE), 0)</f>
        <v>2.5000000000000001E-2</v>
      </c>
    </row>
    <row r="502" spans="1:14" x14ac:dyDescent="0.3">
      <c r="A502" s="2" t="s">
        <v>515</v>
      </c>
      <c r="B502">
        <v>351</v>
      </c>
      <c r="C502">
        <v>7</v>
      </c>
      <c r="D502" t="str">
        <f>IFERROR(VLOOKUP($C502,merchants!$A$2:$D$41,2,FALSE),"Merchant not found")</f>
        <v>Merchant_007</v>
      </c>
      <c r="E502" t="str">
        <f>IFERROR(VLOOKUP($C502, merchants!$A$2:$D$41, 4, FALSE), "Merchant not found")</f>
        <v>East</v>
      </c>
      <c r="F502" t="str">
        <f>IFERROR(VLOOKUP($C502, merchants!$A$2:$D$41, 3, FALSE), "Merchant not found")</f>
        <v>food_delivery</v>
      </c>
      <c r="G502" s="1">
        <v>46052.25</v>
      </c>
      <c r="H502" s="4">
        <f t="shared" si="7"/>
        <v>46052</v>
      </c>
      <c r="I502">
        <v>1999</v>
      </c>
      <c r="J502" s="2" t="s">
        <v>24</v>
      </c>
      <c r="K502" s="2" t="s">
        <v>38</v>
      </c>
      <c r="L502">
        <v>79</v>
      </c>
      <c r="M502">
        <f>IF(COUNTIFS($D$2:$D502, $D502, $H$2:$H502, $H502)=1, 1, 0)</f>
        <v>1</v>
      </c>
      <c r="N502">
        <f>_xlfn.IFNA(HLOOKUP($J502, fee_reference!$B$1:$E$2, 2, FALSE), 0)</f>
        <v>2.5000000000000001E-2</v>
      </c>
    </row>
    <row r="503" spans="1:14" x14ac:dyDescent="0.3">
      <c r="A503" s="2" t="s">
        <v>516</v>
      </c>
      <c r="B503">
        <v>352</v>
      </c>
      <c r="C503">
        <v>40</v>
      </c>
      <c r="D503" t="str">
        <f>IFERROR(VLOOKUP($C503,merchants!$A$2:$D$41,2,FALSE),"Merchant not found")</f>
        <v>Merchant_040</v>
      </c>
      <c r="E503" t="str">
        <f>IFERROR(VLOOKUP($C503, merchants!$A$2:$D$41, 4, FALSE), "Merchant not found")</f>
        <v>South</v>
      </c>
      <c r="F503" t="str">
        <f>IFERROR(VLOOKUP($C503, merchants!$A$2:$D$41, 3, FALSE), "Merchant not found")</f>
        <v>entertainment</v>
      </c>
      <c r="G503" s="1">
        <v>46033.5</v>
      </c>
      <c r="H503" s="4">
        <f t="shared" si="7"/>
        <v>46033</v>
      </c>
      <c r="I503">
        <v>4999</v>
      </c>
      <c r="J503" s="2" t="s">
        <v>24</v>
      </c>
      <c r="K503" s="2" t="s">
        <v>38</v>
      </c>
      <c r="L503">
        <v>95</v>
      </c>
      <c r="M503">
        <f>IF(COUNTIFS($D$2:$D503, $D503, $H$2:$H503, $H503)=1, 1, 0)</f>
        <v>1</v>
      </c>
      <c r="N503">
        <f>_xlfn.IFNA(HLOOKUP($J503, fee_reference!$B$1:$E$2, 2, FALSE), 0)</f>
        <v>2.5000000000000001E-2</v>
      </c>
    </row>
    <row r="504" spans="1:14" x14ac:dyDescent="0.3">
      <c r="A504" s="2" t="s">
        <v>517</v>
      </c>
      <c r="B504">
        <v>353</v>
      </c>
      <c r="C504">
        <v>28</v>
      </c>
      <c r="D504" t="str">
        <f>IFERROR(VLOOKUP($C504,merchants!$A$2:$D$41,2,FALSE),"Merchant not found")</f>
        <v>Merchant_028</v>
      </c>
      <c r="E504" t="str">
        <f>IFERROR(VLOOKUP($C504, merchants!$A$2:$D$41, 4, FALSE), "Merchant not found")</f>
        <v>South</v>
      </c>
      <c r="F504" t="str">
        <f>IFERROR(VLOOKUP($C504, merchants!$A$2:$D$41, 3, FALSE), "Merchant not found")</f>
        <v>ecommerce</v>
      </c>
      <c r="G504" s="1">
        <v>46043.583333333336</v>
      </c>
      <c r="H504" s="4">
        <f t="shared" si="7"/>
        <v>46043</v>
      </c>
      <c r="I504">
        <v>1999</v>
      </c>
      <c r="J504" s="2" t="s">
        <v>24</v>
      </c>
      <c r="K504" s="2" t="s">
        <v>38</v>
      </c>
      <c r="L504">
        <v>79</v>
      </c>
      <c r="M504">
        <f>IF(COUNTIFS($D$2:$D504, $D504, $H$2:$H504, $H504)=1, 1, 0)</f>
        <v>1</v>
      </c>
      <c r="N504">
        <f>_xlfn.IFNA(HLOOKUP($J504, fee_reference!$B$1:$E$2, 2, FALSE), 0)</f>
        <v>2.5000000000000001E-2</v>
      </c>
    </row>
    <row r="505" spans="1:14" x14ac:dyDescent="0.3">
      <c r="A505" s="2" t="s">
        <v>518</v>
      </c>
      <c r="B505">
        <v>354</v>
      </c>
      <c r="C505">
        <v>13</v>
      </c>
      <c r="D505" t="str">
        <f>IFERROR(VLOOKUP($C505,merchants!$A$2:$D$41,2,FALSE),"Merchant not found")</f>
        <v>Merchant_013</v>
      </c>
      <c r="E505" t="str">
        <f>IFERROR(VLOOKUP($C505, merchants!$A$2:$D$41, 4, FALSE), "Merchant not found")</f>
        <v>East</v>
      </c>
      <c r="F505" t="str">
        <f>IFERROR(VLOOKUP($C505, merchants!$A$2:$D$41, 3, FALSE), "Merchant not found")</f>
        <v>travel</v>
      </c>
      <c r="G505" s="1">
        <v>46043.791666666664</v>
      </c>
      <c r="H505" s="4">
        <f t="shared" si="7"/>
        <v>46043</v>
      </c>
      <c r="I505">
        <v>4999</v>
      </c>
      <c r="J505" s="2" t="s">
        <v>24</v>
      </c>
      <c r="K505" s="2" t="s">
        <v>38</v>
      </c>
      <c r="L505">
        <v>80</v>
      </c>
      <c r="M505">
        <f>IF(COUNTIFS($D$2:$D505, $D505, $H$2:$H505, $H505)=1, 1, 0)</f>
        <v>1</v>
      </c>
      <c r="N505">
        <f>_xlfn.IFNA(HLOOKUP($J505, fee_reference!$B$1:$E$2, 2, FALSE), 0)</f>
        <v>2.5000000000000001E-2</v>
      </c>
    </row>
    <row r="506" spans="1:14" x14ac:dyDescent="0.3">
      <c r="A506" s="2" t="s">
        <v>519</v>
      </c>
      <c r="B506">
        <v>355</v>
      </c>
      <c r="C506">
        <v>19</v>
      </c>
      <c r="D506" t="str">
        <f>IFERROR(VLOOKUP($C506,merchants!$A$2:$D$41,2,FALSE),"Merchant not found")</f>
        <v>Merchant_019</v>
      </c>
      <c r="E506" t="str">
        <f>IFERROR(VLOOKUP($C506, merchants!$A$2:$D$41, 4, FALSE), "Merchant not found")</f>
        <v>North</v>
      </c>
      <c r="F506" t="str">
        <f>IFERROR(VLOOKUP($C506, merchants!$A$2:$D$41, 3, FALSE), "Merchant not found")</f>
        <v>grocery</v>
      </c>
      <c r="G506" s="1">
        <v>46038.5</v>
      </c>
      <c r="H506" s="4">
        <f t="shared" si="7"/>
        <v>46038</v>
      </c>
      <c r="I506">
        <v>4999</v>
      </c>
      <c r="J506" s="2" t="s">
        <v>24</v>
      </c>
      <c r="K506" s="2" t="s">
        <v>38</v>
      </c>
      <c r="L506">
        <v>100</v>
      </c>
      <c r="M506">
        <f>IF(COUNTIFS($D$2:$D506, $D506, $H$2:$H506, $H506)=1, 1, 0)</f>
        <v>1</v>
      </c>
      <c r="N506">
        <f>_xlfn.IFNA(HLOOKUP($J506, fee_reference!$B$1:$E$2, 2, FALSE), 0)</f>
        <v>2.5000000000000001E-2</v>
      </c>
    </row>
    <row r="507" spans="1:14" x14ac:dyDescent="0.3">
      <c r="A507" s="2" t="s">
        <v>520</v>
      </c>
      <c r="B507">
        <v>356</v>
      </c>
      <c r="C507">
        <v>25</v>
      </c>
      <c r="D507" t="str">
        <f>IFERROR(VLOOKUP($C507,merchants!$A$2:$D$41,2,FALSE),"Merchant not found")</f>
        <v>Merchant_025</v>
      </c>
      <c r="E507" t="str">
        <f>IFERROR(VLOOKUP($C507, merchants!$A$2:$D$41, 4, FALSE), "Merchant not found")</f>
        <v>South</v>
      </c>
      <c r="F507" t="str">
        <f>IFERROR(VLOOKUP($C507, merchants!$A$2:$D$41, 3, FALSE), "Merchant not found")</f>
        <v>travel</v>
      </c>
      <c r="G507" s="1">
        <v>46051.291666666664</v>
      </c>
      <c r="H507" s="4">
        <f t="shared" si="7"/>
        <v>46051</v>
      </c>
      <c r="I507">
        <v>2999</v>
      </c>
      <c r="J507" s="2" t="s">
        <v>24</v>
      </c>
      <c r="K507" s="2" t="s">
        <v>38</v>
      </c>
      <c r="L507">
        <v>96</v>
      </c>
      <c r="M507">
        <f>IF(COUNTIFS($D$2:$D507, $D507, $H$2:$H507, $H507)=1, 1, 0)</f>
        <v>0</v>
      </c>
      <c r="N507">
        <f>_xlfn.IFNA(HLOOKUP($J507, fee_reference!$B$1:$E$2, 2, FALSE), 0)</f>
        <v>2.5000000000000001E-2</v>
      </c>
    </row>
    <row r="508" spans="1:14" x14ac:dyDescent="0.3">
      <c r="A508" s="2" t="s">
        <v>521</v>
      </c>
      <c r="B508">
        <v>357</v>
      </c>
      <c r="C508">
        <v>37</v>
      </c>
      <c r="D508" t="str">
        <f>IFERROR(VLOOKUP($C508,merchants!$A$2:$D$41,2,FALSE),"Merchant not found")</f>
        <v>Merchant_037</v>
      </c>
      <c r="E508" t="str">
        <f>IFERROR(VLOOKUP($C508, merchants!$A$2:$D$41, 4, FALSE), "Merchant not found")</f>
        <v>South</v>
      </c>
      <c r="F508" t="str">
        <f>IFERROR(VLOOKUP($C508, merchants!$A$2:$D$41, 3, FALSE), "Merchant not found")</f>
        <v>entertainment</v>
      </c>
      <c r="G508" s="1">
        <v>46045.458333333336</v>
      </c>
      <c r="H508" s="4">
        <f t="shared" si="7"/>
        <v>46045</v>
      </c>
      <c r="I508">
        <v>1999</v>
      </c>
      <c r="J508" s="2" t="s">
        <v>24</v>
      </c>
      <c r="K508" s="2" t="s">
        <v>38</v>
      </c>
      <c r="L508">
        <v>88</v>
      </c>
      <c r="M508">
        <f>IF(COUNTIFS($D$2:$D508, $D508, $H$2:$H508, $H508)=1, 1, 0)</f>
        <v>1</v>
      </c>
      <c r="N508">
        <f>_xlfn.IFNA(HLOOKUP($J508, fee_reference!$B$1:$E$2, 2, FALSE), 0)</f>
        <v>2.5000000000000001E-2</v>
      </c>
    </row>
    <row r="509" spans="1:14" x14ac:dyDescent="0.3">
      <c r="A509" s="2" t="s">
        <v>522</v>
      </c>
      <c r="B509">
        <v>358</v>
      </c>
      <c r="C509">
        <v>36</v>
      </c>
      <c r="D509" t="str">
        <f>IFERROR(VLOOKUP($C509,merchants!$A$2:$D$41,2,FALSE),"Merchant not found")</f>
        <v>Merchant_036</v>
      </c>
      <c r="E509" t="str">
        <f>IFERROR(VLOOKUP($C509, merchants!$A$2:$D$41, 4, FALSE), "Merchant not found")</f>
        <v>East</v>
      </c>
      <c r="F509" t="str">
        <f>IFERROR(VLOOKUP($C509, merchants!$A$2:$D$41, 3, FALSE), "Merchant not found")</f>
        <v>entertainment</v>
      </c>
      <c r="G509" s="1">
        <v>46050.208333333336</v>
      </c>
      <c r="H509" s="4">
        <f t="shared" si="7"/>
        <v>46050</v>
      </c>
      <c r="I509">
        <v>999</v>
      </c>
      <c r="J509" s="2" t="s">
        <v>24</v>
      </c>
      <c r="K509" s="2" t="s">
        <v>38</v>
      </c>
      <c r="L509">
        <v>100</v>
      </c>
      <c r="M509">
        <f>IF(COUNTIFS($D$2:$D509, $D509, $H$2:$H509, $H509)=1, 1, 0)</f>
        <v>1</v>
      </c>
      <c r="N509">
        <f>_xlfn.IFNA(HLOOKUP($J509, fee_reference!$B$1:$E$2, 2, FALSE), 0)</f>
        <v>2.5000000000000001E-2</v>
      </c>
    </row>
    <row r="510" spans="1:14" x14ac:dyDescent="0.3">
      <c r="A510" s="2" t="s">
        <v>523</v>
      </c>
      <c r="B510">
        <v>359</v>
      </c>
      <c r="C510">
        <v>29</v>
      </c>
      <c r="D510" t="str">
        <f>IFERROR(VLOOKUP($C510,merchants!$A$2:$D$41,2,FALSE),"Merchant not found")</f>
        <v>Merchant_029</v>
      </c>
      <c r="E510" t="str">
        <f>IFERROR(VLOOKUP($C510, merchants!$A$2:$D$41, 4, FALSE), "Merchant not found")</f>
        <v>North</v>
      </c>
      <c r="F510" t="str">
        <f>IFERROR(VLOOKUP($C510, merchants!$A$2:$D$41, 3, FALSE), "Merchant not found")</f>
        <v>ecommerce</v>
      </c>
      <c r="G510" s="1">
        <v>46047.916666666664</v>
      </c>
      <c r="H510" s="4">
        <f t="shared" si="7"/>
        <v>46047</v>
      </c>
      <c r="I510">
        <v>2999</v>
      </c>
      <c r="J510" s="2" t="s">
        <v>24</v>
      </c>
      <c r="K510" s="2" t="s">
        <v>38</v>
      </c>
      <c r="L510">
        <v>96</v>
      </c>
      <c r="M510">
        <f>IF(COUNTIFS($D$2:$D510, $D510, $H$2:$H510, $H510)=1, 1, 0)</f>
        <v>0</v>
      </c>
      <c r="N510">
        <f>_xlfn.IFNA(HLOOKUP($J510, fee_reference!$B$1:$E$2, 2, FALSE), 0)</f>
        <v>2.5000000000000001E-2</v>
      </c>
    </row>
    <row r="511" spans="1:14" x14ac:dyDescent="0.3">
      <c r="A511" s="2" t="s">
        <v>524</v>
      </c>
      <c r="B511">
        <v>360</v>
      </c>
      <c r="C511">
        <v>32</v>
      </c>
      <c r="D511" t="str">
        <f>IFERROR(VLOOKUP($C511,merchants!$A$2:$D$41,2,FALSE),"Merchant not found")</f>
        <v>Merchant_032</v>
      </c>
      <c r="E511" t="str">
        <f>IFERROR(VLOOKUP($C511, merchants!$A$2:$D$41, 4, FALSE), "Merchant not found")</f>
        <v>West</v>
      </c>
      <c r="F511" t="str">
        <f>IFERROR(VLOOKUP($C511, merchants!$A$2:$D$41, 3, FALSE), "Merchant not found")</f>
        <v>food_delivery</v>
      </c>
      <c r="G511" s="1">
        <v>46035.541666666664</v>
      </c>
      <c r="H511" s="4">
        <f t="shared" si="7"/>
        <v>46035</v>
      </c>
      <c r="I511">
        <v>1999</v>
      </c>
      <c r="J511" s="2" t="s">
        <v>24</v>
      </c>
      <c r="K511" s="2" t="s">
        <v>38</v>
      </c>
      <c r="L511">
        <v>90</v>
      </c>
      <c r="M511">
        <f>IF(COUNTIFS($D$2:$D511, $D511, $H$2:$H511, $H511)=1, 1, 0)</f>
        <v>1</v>
      </c>
      <c r="N511">
        <f>_xlfn.IFNA(HLOOKUP($J511, fee_reference!$B$1:$E$2, 2, FALSE), 0)</f>
        <v>2.5000000000000001E-2</v>
      </c>
    </row>
    <row r="512" spans="1:14" x14ac:dyDescent="0.3">
      <c r="A512" s="2" t="s">
        <v>525</v>
      </c>
      <c r="B512">
        <v>361</v>
      </c>
      <c r="C512">
        <v>10</v>
      </c>
      <c r="D512" t="str">
        <f>IFERROR(VLOOKUP($C512,merchants!$A$2:$D$41,2,FALSE),"Merchant not found")</f>
        <v>Merchant_010</v>
      </c>
      <c r="E512" t="str">
        <f>IFERROR(VLOOKUP($C512, merchants!$A$2:$D$41, 4, FALSE), "Merchant not found")</f>
        <v>West</v>
      </c>
      <c r="F512" t="str">
        <f>IFERROR(VLOOKUP($C512, merchants!$A$2:$D$41, 3, FALSE), "Merchant not found")</f>
        <v>grocery</v>
      </c>
      <c r="G512" s="1">
        <v>46042.291666666664</v>
      </c>
      <c r="H512" s="4">
        <f t="shared" si="7"/>
        <v>46042</v>
      </c>
      <c r="I512">
        <v>4999</v>
      </c>
      <c r="J512" s="2" t="s">
        <v>24</v>
      </c>
      <c r="K512" s="2" t="s">
        <v>38</v>
      </c>
      <c r="L512">
        <v>95</v>
      </c>
      <c r="M512">
        <f>IF(COUNTIFS($D$2:$D512, $D512, $H$2:$H512, $H512)=1, 1, 0)</f>
        <v>1</v>
      </c>
      <c r="N512">
        <f>_xlfn.IFNA(HLOOKUP($J512, fee_reference!$B$1:$E$2, 2, FALSE), 0)</f>
        <v>2.5000000000000001E-2</v>
      </c>
    </row>
    <row r="513" spans="1:14" x14ac:dyDescent="0.3">
      <c r="A513" s="2" t="s">
        <v>526</v>
      </c>
      <c r="B513">
        <v>362</v>
      </c>
      <c r="C513">
        <v>39</v>
      </c>
      <c r="D513" t="str">
        <f>IFERROR(VLOOKUP($C513,merchants!$A$2:$D$41,2,FALSE),"Merchant not found")</f>
        <v>Merchant_039</v>
      </c>
      <c r="E513" t="str">
        <f>IFERROR(VLOOKUP($C513, merchants!$A$2:$D$41, 4, FALSE), "Merchant not found")</f>
        <v>North</v>
      </c>
      <c r="F513" t="str">
        <f>IFERROR(VLOOKUP($C513, merchants!$A$2:$D$41, 3, FALSE), "Merchant not found")</f>
        <v>entertainment</v>
      </c>
      <c r="G513" s="1">
        <v>46045.083333333336</v>
      </c>
      <c r="H513" s="4">
        <f t="shared" si="7"/>
        <v>46045</v>
      </c>
      <c r="I513">
        <v>4999</v>
      </c>
      <c r="J513" s="2" t="s">
        <v>24</v>
      </c>
      <c r="K513" s="2" t="s">
        <v>38</v>
      </c>
      <c r="L513">
        <v>88</v>
      </c>
      <c r="M513">
        <f>IF(COUNTIFS($D$2:$D513, $D513, $H$2:$H513, $H513)=1, 1, 0)</f>
        <v>1</v>
      </c>
      <c r="N513">
        <f>_xlfn.IFNA(HLOOKUP($J513, fee_reference!$B$1:$E$2, 2, FALSE), 0)</f>
        <v>2.5000000000000001E-2</v>
      </c>
    </row>
    <row r="514" spans="1:14" x14ac:dyDescent="0.3">
      <c r="A514" s="2" t="s">
        <v>527</v>
      </c>
      <c r="B514">
        <v>363</v>
      </c>
      <c r="C514">
        <v>27</v>
      </c>
      <c r="D514" t="str">
        <f>IFERROR(VLOOKUP($C514,merchants!$A$2:$D$41,2,FALSE),"Merchant not found")</f>
        <v>Merchant_027</v>
      </c>
      <c r="E514" t="str">
        <f>IFERROR(VLOOKUP($C514, merchants!$A$2:$D$41, 4, FALSE), "Merchant not found")</f>
        <v>North</v>
      </c>
      <c r="F514" t="str">
        <f>IFERROR(VLOOKUP($C514, merchants!$A$2:$D$41, 3, FALSE), "Merchant not found")</f>
        <v>ecommerce</v>
      </c>
      <c r="G514" s="1">
        <v>46045.708333333336</v>
      </c>
      <c r="H514" s="4">
        <f t="shared" ref="H514:H577" si="8">INT(G514)</f>
        <v>46045</v>
      </c>
      <c r="I514">
        <v>999</v>
      </c>
      <c r="J514" s="2" t="s">
        <v>24</v>
      </c>
      <c r="K514" s="2" t="s">
        <v>38</v>
      </c>
      <c r="L514">
        <v>95</v>
      </c>
      <c r="M514">
        <f>IF(COUNTIFS($D$2:$D514, $D514, $H$2:$H514, $H514)=1, 1, 0)</f>
        <v>0</v>
      </c>
      <c r="N514">
        <f>_xlfn.IFNA(HLOOKUP($J514, fee_reference!$B$1:$E$2, 2, FALSE), 0)</f>
        <v>2.5000000000000001E-2</v>
      </c>
    </row>
    <row r="515" spans="1:14" x14ac:dyDescent="0.3">
      <c r="A515" s="2" t="s">
        <v>528</v>
      </c>
      <c r="B515">
        <v>364</v>
      </c>
      <c r="C515">
        <v>39</v>
      </c>
      <c r="D515" t="str">
        <f>IFERROR(VLOOKUP($C515,merchants!$A$2:$D$41,2,FALSE),"Merchant not found")</f>
        <v>Merchant_039</v>
      </c>
      <c r="E515" t="str">
        <f>IFERROR(VLOOKUP($C515, merchants!$A$2:$D$41, 4, FALSE), "Merchant not found")</f>
        <v>North</v>
      </c>
      <c r="F515" t="str">
        <f>IFERROR(VLOOKUP($C515, merchants!$A$2:$D$41, 3, FALSE), "Merchant not found")</f>
        <v>entertainment</v>
      </c>
      <c r="G515" s="1">
        <v>46044.916666666664</v>
      </c>
      <c r="H515" s="4">
        <f t="shared" si="8"/>
        <v>46044</v>
      </c>
      <c r="I515">
        <v>999</v>
      </c>
      <c r="J515" s="2" t="s">
        <v>24</v>
      </c>
      <c r="K515" s="2" t="s">
        <v>38</v>
      </c>
      <c r="L515">
        <v>73</v>
      </c>
      <c r="M515">
        <f>IF(COUNTIFS($D$2:$D515, $D515, $H$2:$H515, $H515)=1, 1, 0)</f>
        <v>0</v>
      </c>
      <c r="N515">
        <f>_xlfn.IFNA(HLOOKUP($J515, fee_reference!$B$1:$E$2, 2, FALSE), 0)</f>
        <v>2.5000000000000001E-2</v>
      </c>
    </row>
    <row r="516" spans="1:14" x14ac:dyDescent="0.3">
      <c r="A516" s="2" t="s">
        <v>529</v>
      </c>
      <c r="B516">
        <v>365</v>
      </c>
      <c r="C516">
        <v>23</v>
      </c>
      <c r="D516" t="str">
        <f>IFERROR(VLOOKUP($C516,merchants!$A$2:$D$41,2,FALSE),"Merchant not found")</f>
        <v>Merchant_023</v>
      </c>
      <c r="E516" t="str">
        <f>IFERROR(VLOOKUP($C516, merchants!$A$2:$D$41, 4, FALSE), "Merchant not found")</f>
        <v>North</v>
      </c>
      <c r="F516" t="str">
        <f>IFERROR(VLOOKUP($C516, merchants!$A$2:$D$41, 3, FALSE), "Merchant not found")</f>
        <v>travel</v>
      </c>
      <c r="G516" s="1">
        <v>46040.875</v>
      </c>
      <c r="H516" s="4">
        <f t="shared" si="8"/>
        <v>46040</v>
      </c>
      <c r="I516">
        <v>1999</v>
      </c>
      <c r="J516" s="2" t="s">
        <v>24</v>
      </c>
      <c r="K516" s="2" t="s">
        <v>38</v>
      </c>
      <c r="L516">
        <v>90</v>
      </c>
      <c r="M516">
        <f>IF(COUNTIFS($D$2:$D516, $D516, $H$2:$H516, $H516)=1, 1, 0)</f>
        <v>1</v>
      </c>
      <c r="N516">
        <f>_xlfn.IFNA(HLOOKUP($J516, fee_reference!$B$1:$E$2, 2, FALSE), 0)</f>
        <v>2.5000000000000001E-2</v>
      </c>
    </row>
    <row r="517" spans="1:14" x14ac:dyDescent="0.3">
      <c r="A517" s="2" t="s">
        <v>530</v>
      </c>
      <c r="B517">
        <v>314</v>
      </c>
      <c r="C517">
        <v>26</v>
      </c>
      <c r="D517" t="str">
        <f>IFERROR(VLOOKUP($C517,merchants!$A$2:$D$41,2,FALSE),"Merchant not found")</f>
        <v>Merchant_026</v>
      </c>
      <c r="E517" t="str">
        <f>IFERROR(VLOOKUP($C517, merchants!$A$2:$D$41, 4, FALSE), "Merchant not found")</f>
        <v>East</v>
      </c>
      <c r="F517" t="str">
        <f>IFERROR(VLOOKUP($C517, merchants!$A$2:$D$41, 3, FALSE), "Merchant not found")</f>
        <v>food_delivery</v>
      </c>
      <c r="G517" s="1">
        <v>46024.75</v>
      </c>
      <c r="H517" s="4">
        <f t="shared" si="8"/>
        <v>46024</v>
      </c>
      <c r="I517">
        <v>399</v>
      </c>
      <c r="J517" s="2" t="s">
        <v>24</v>
      </c>
      <c r="K517" s="2" t="s">
        <v>25</v>
      </c>
      <c r="L517">
        <v>87</v>
      </c>
      <c r="M517">
        <f>IF(COUNTIFS($D$2:$D517, $D517, $H$2:$H517, $H517)=1, 1, 0)</f>
        <v>1</v>
      </c>
      <c r="N517">
        <f>_xlfn.IFNA(HLOOKUP($J517, fee_reference!$B$1:$E$2, 2, FALSE), 0)</f>
        <v>2.5000000000000001E-2</v>
      </c>
    </row>
    <row r="518" spans="1:14" x14ac:dyDescent="0.3">
      <c r="A518" s="2" t="s">
        <v>531</v>
      </c>
      <c r="B518">
        <v>314</v>
      </c>
      <c r="C518">
        <v>7</v>
      </c>
      <c r="D518" t="str">
        <f>IFERROR(VLOOKUP($C518,merchants!$A$2:$D$41,2,FALSE),"Merchant not found")</f>
        <v>Merchant_007</v>
      </c>
      <c r="E518" t="str">
        <f>IFERROR(VLOOKUP($C518, merchants!$A$2:$D$41, 4, FALSE), "Merchant not found")</f>
        <v>East</v>
      </c>
      <c r="F518" t="str">
        <f>IFERROR(VLOOKUP($C518, merchants!$A$2:$D$41, 3, FALSE), "Merchant not found")</f>
        <v>food_delivery</v>
      </c>
      <c r="G518" s="1">
        <v>46024.750694444447</v>
      </c>
      <c r="H518" s="4">
        <f t="shared" si="8"/>
        <v>46024</v>
      </c>
      <c r="I518">
        <v>299</v>
      </c>
      <c r="J518" s="2" t="s">
        <v>24</v>
      </c>
      <c r="K518" s="2" t="s">
        <v>25</v>
      </c>
      <c r="L518">
        <v>66</v>
      </c>
      <c r="M518">
        <f>IF(COUNTIFS($D$2:$D518, $D518, $H$2:$H518, $H518)=1, 1, 0)</f>
        <v>0</v>
      </c>
      <c r="N518">
        <f>_xlfn.IFNA(HLOOKUP($J518, fee_reference!$B$1:$E$2, 2, FALSE), 0)</f>
        <v>2.5000000000000001E-2</v>
      </c>
    </row>
    <row r="519" spans="1:14" x14ac:dyDescent="0.3">
      <c r="A519" s="2" t="s">
        <v>532</v>
      </c>
      <c r="B519">
        <v>314</v>
      </c>
      <c r="C519">
        <v>17</v>
      </c>
      <c r="D519" t="str">
        <f>IFERROR(VLOOKUP($C519,merchants!$A$2:$D$41,2,FALSE),"Merchant not found")</f>
        <v>Merchant_017</v>
      </c>
      <c r="E519" t="str">
        <f>IFERROR(VLOOKUP($C519, merchants!$A$2:$D$41, 4, FALSE), "Merchant not found")</f>
        <v>North</v>
      </c>
      <c r="F519" t="str">
        <f>IFERROR(VLOOKUP($C519, merchants!$A$2:$D$41, 3, FALSE), "Merchant not found")</f>
        <v>grocery</v>
      </c>
      <c r="G519" s="1">
        <v>46024.751388888886</v>
      </c>
      <c r="H519" s="4">
        <f t="shared" si="8"/>
        <v>46024</v>
      </c>
      <c r="I519">
        <v>299</v>
      </c>
      <c r="J519" s="2" t="s">
        <v>24</v>
      </c>
      <c r="K519" s="2" t="s">
        <v>25</v>
      </c>
      <c r="L519">
        <v>92</v>
      </c>
      <c r="M519">
        <f>IF(COUNTIFS($D$2:$D519, $D519, $H$2:$H519, $H519)=1, 1, 0)</f>
        <v>1</v>
      </c>
      <c r="N519">
        <f>_xlfn.IFNA(HLOOKUP($J519, fee_reference!$B$1:$E$2, 2, FALSE), 0)</f>
        <v>2.5000000000000001E-2</v>
      </c>
    </row>
    <row r="520" spans="1:14" x14ac:dyDescent="0.3">
      <c r="A520" s="2" t="s">
        <v>533</v>
      </c>
      <c r="B520">
        <v>314</v>
      </c>
      <c r="C520">
        <v>34</v>
      </c>
      <c r="D520" t="str">
        <f>IFERROR(VLOOKUP($C520,merchants!$A$2:$D$41,2,FALSE),"Merchant not found")</f>
        <v>Merchant_034</v>
      </c>
      <c r="E520" t="str">
        <f>IFERROR(VLOOKUP($C520, merchants!$A$2:$D$41, 4, FALSE), "Merchant not found")</f>
        <v>South</v>
      </c>
      <c r="F520" t="str">
        <f>IFERROR(VLOOKUP($C520, merchants!$A$2:$D$41, 3, FALSE), "Merchant not found")</f>
        <v>travel</v>
      </c>
      <c r="G520" s="1">
        <v>46024.752083333333</v>
      </c>
      <c r="H520" s="4">
        <f t="shared" si="8"/>
        <v>46024</v>
      </c>
      <c r="I520">
        <v>499</v>
      </c>
      <c r="J520" s="2" t="s">
        <v>24</v>
      </c>
      <c r="K520" s="2" t="s">
        <v>10</v>
      </c>
      <c r="L520">
        <v>74</v>
      </c>
      <c r="M520">
        <f>IF(COUNTIFS($D$2:$D520, $D520, $H$2:$H520, $H520)=1, 1, 0)</f>
        <v>0</v>
      </c>
      <c r="N520">
        <f>_xlfn.IFNA(HLOOKUP($J520, fee_reference!$B$1:$E$2, 2, FALSE), 0)</f>
        <v>2.5000000000000001E-2</v>
      </c>
    </row>
    <row r="521" spans="1:14" x14ac:dyDescent="0.3">
      <c r="A521" s="2" t="s">
        <v>534</v>
      </c>
      <c r="B521">
        <v>229</v>
      </c>
      <c r="C521">
        <v>30</v>
      </c>
      <c r="D521" t="str">
        <f>IFERROR(VLOOKUP($C521,merchants!$A$2:$D$41,2,FALSE),"Merchant not found")</f>
        <v>Merchant_030</v>
      </c>
      <c r="E521" t="str">
        <f>IFERROR(VLOOKUP($C521, merchants!$A$2:$D$41, 4, FALSE), "Merchant not found")</f>
        <v>West</v>
      </c>
      <c r="F521" t="str">
        <f>IFERROR(VLOOKUP($C521, merchants!$A$2:$D$41, 3, FALSE), "Merchant not found")</f>
        <v>travel</v>
      </c>
      <c r="G521" s="1">
        <v>46034.5</v>
      </c>
      <c r="H521" s="4">
        <f t="shared" si="8"/>
        <v>46034</v>
      </c>
      <c r="I521">
        <v>499</v>
      </c>
      <c r="J521" s="2" t="s">
        <v>24</v>
      </c>
      <c r="K521" s="2" t="s">
        <v>25</v>
      </c>
      <c r="L521">
        <v>92</v>
      </c>
      <c r="M521">
        <f>IF(COUNTIFS($D$2:$D521, $D521, $H$2:$H521, $H521)=1, 1, 0)</f>
        <v>1</v>
      </c>
      <c r="N521">
        <f>_xlfn.IFNA(HLOOKUP($J521, fee_reference!$B$1:$E$2, 2, FALSE), 0)</f>
        <v>2.5000000000000001E-2</v>
      </c>
    </row>
    <row r="522" spans="1:14" x14ac:dyDescent="0.3">
      <c r="A522" s="2" t="s">
        <v>535</v>
      </c>
      <c r="B522">
        <v>229</v>
      </c>
      <c r="C522">
        <v>10</v>
      </c>
      <c r="D522" t="str">
        <f>IFERROR(VLOOKUP($C522,merchants!$A$2:$D$41,2,FALSE),"Merchant not found")</f>
        <v>Merchant_010</v>
      </c>
      <c r="E522" t="str">
        <f>IFERROR(VLOOKUP($C522, merchants!$A$2:$D$41, 4, FALSE), "Merchant not found")</f>
        <v>West</v>
      </c>
      <c r="F522" t="str">
        <f>IFERROR(VLOOKUP($C522, merchants!$A$2:$D$41, 3, FALSE), "Merchant not found")</f>
        <v>grocery</v>
      </c>
      <c r="G522" s="1">
        <v>46034.500694444447</v>
      </c>
      <c r="H522" s="4">
        <f t="shared" si="8"/>
        <v>46034</v>
      </c>
      <c r="I522">
        <v>399</v>
      </c>
      <c r="J522" s="2" t="s">
        <v>24</v>
      </c>
      <c r="K522" s="2" t="s">
        <v>25</v>
      </c>
      <c r="L522">
        <v>61</v>
      </c>
      <c r="M522">
        <f>IF(COUNTIFS($D$2:$D522, $D522, $H$2:$H522, $H522)=1, 1, 0)</f>
        <v>1</v>
      </c>
      <c r="N522">
        <f>_xlfn.IFNA(HLOOKUP($J522, fee_reference!$B$1:$E$2, 2, FALSE), 0)</f>
        <v>2.5000000000000001E-2</v>
      </c>
    </row>
    <row r="523" spans="1:14" x14ac:dyDescent="0.3">
      <c r="A523" s="2" t="s">
        <v>536</v>
      </c>
      <c r="B523">
        <v>229</v>
      </c>
      <c r="C523">
        <v>31</v>
      </c>
      <c r="D523" t="str">
        <f>IFERROR(VLOOKUP($C523,merchants!$A$2:$D$41,2,FALSE),"Merchant not found")</f>
        <v>Merchant_031</v>
      </c>
      <c r="E523" t="str">
        <f>IFERROR(VLOOKUP($C523, merchants!$A$2:$D$41, 4, FALSE), "Merchant not found")</f>
        <v>East</v>
      </c>
      <c r="F523" t="str">
        <f>IFERROR(VLOOKUP($C523, merchants!$A$2:$D$41, 3, FALSE), "Merchant not found")</f>
        <v>bill_payment</v>
      </c>
      <c r="G523" s="1">
        <v>46034.501388888886</v>
      </c>
      <c r="H523" s="4">
        <f t="shared" si="8"/>
        <v>46034</v>
      </c>
      <c r="I523">
        <v>299</v>
      </c>
      <c r="J523" s="2" t="s">
        <v>24</v>
      </c>
      <c r="K523" s="2" t="s">
        <v>25</v>
      </c>
      <c r="L523">
        <v>78</v>
      </c>
      <c r="M523">
        <f>IF(COUNTIFS($D$2:$D523, $D523, $H$2:$H523, $H523)=1, 1, 0)</f>
        <v>1</v>
      </c>
      <c r="N523">
        <f>_xlfn.IFNA(HLOOKUP($J523, fee_reference!$B$1:$E$2, 2, FALSE), 0)</f>
        <v>2.5000000000000001E-2</v>
      </c>
    </row>
    <row r="524" spans="1:14" x14ac:dyDescent="0.3">
      <c r="A524" s="2" t="s">
        <v>537</v>
      </c>
      <c r="B524">
        <v>229</v>
      </c>
      <c r="C524">
        <v>27</v>
      </c>
      <c r="D524" t="str">
        <f>IFERROR(VLOOKUP($C524,merchants!$A$2:$D$41,2,FALSE),"Merchant not found")</f>
        <v>Merchant_027</v>
      </c>
      <c r="E524" t="str">
        <f>IFERROR(VLOOKUP($C524, merchants!$A$2:$D$41, 4, FALSE), "Merchant not found")</f>
        <v>North</v>
      </c>
      <c r="F524" t="str">
        <f>IFERROR(VLOOKUP($C524, merchants!$A$2:$D$41, 3, FALSE), "Merchant not found")</f>
        <v>ecommerce</v>
      </c>
      <c r="G524" s="1">
        <v>46034.502083333333</v>
      </c>
      <c r="H524" s="4">
        <f t="shared" si="8"/>
        <v>46034</v>
      </c>
      <c r="I524">
        <v>299</v>
      </c>
      <c r="J524" s="2" t="s">
        <v>24</v>
      </c>
      <c r="K524" s="2" t="s">
        <v>10</v>
      </c>
      <c r="L524">
        <v>67</v>
      </c>
      <c r="M524">
        <f>IF(COUNTIFS($D$2:$D524, $D524, $H$2:$H524, $H524)=1, 1, 0)</f>
        <v>1</v>
      </c>
      <c r="N524">
        <f>_xlfn.IFNA(HLOOKUP($J524, fee_reference!$B$1:$E$2, 2, FALSE), 0)</f>
        <v>2.5000000000000001E-2</v>
      </c>
    </row>
    <row r="525" spans="1:14" x14ac:dyDescent="0.3">
      <c r="A525" s="2" t="s">
        <v>538</v>
      </c>
      <c r="B525">
        <v>73</v>
      </c>
      <c r="C525">
        <v>22</v>
      </c>
      <c r="D525" t="str">
        <f>IFERROR(VLOOKUP($C525,merchants!$A$2:$D$41,2,FALSE),"Merchant not found")</f>
        <v>Merchant_022</v>
      </c>
      <c r="E525" t="str">
        <f>IFERROR(VLOOKUP($C525, merchants!$A$2:$D$41, 4, FALSE), "Merchant not found")</f>
        <v>South</v>
      </c>
      <c r="F525" t="str">
        <f>IFERROR(VLOOKUP($C525, merchants!$A$2:$D$41, 3, FALSE), "Merchant not found")</f>
        <v>travel</v>
      </c>
      <c r="G525" s="1">
        <v>46034.375</v>
      </c>
      <c r="H525" s="4">
        <f t="shared" si="8"/>
        <v>46034</v>
      </c>
      <c r="I525">
        <v>399</v>
      </c>
      <c r="J525" s="2" t="s">
        <v>24</v>
      </c>
      <c r="K525" s="2" t="s">
        <v>25</v>
      </c>
      <c r="L525">
        <v>73</v>
      </c>
      <c r="M525">
        <f>IF(COUNTIFS($D$2:$D525, $D525, $H$2:$H525, $H525)=1, 1, 0)</f>
        <v>0</v>
      </c>
      <c r="N525">
        <f>_xlfn.IFNA(HLOOKUP($J525, fee_reference!$B$1:$E$2, 2, FALSE), 0)</f>
        <v>2.5000000000000001E-2</v>
      </c>
    </row>
    <row r="526" spans="1:14" x14ac:dyDescent="0.3">
      <c r="A526" s="2" t="s">
        <v>539</v>
      </c>
      <c r="B526">
        <v>73</v>
      </c>
      <c r="C526">
        <v>34</v>
      </c>
      <c r="D526" t="str">
        <f>IFERROR(VLOOKUP($C526,merchants!$A$2:$D$41,2,FALSE),"Merchant not found")</f>
        <v>Merchant_034</v>
      </c>
      <c r="E526" t="str">
        <f>IFERROR(VLOOKUP($C526, merchants!$A$2:$D$41, 4, FALSE), "Merchant not found")</f>
        <v>South</v>
      </c>
      <c r="F526" t="str">
        <f>IFERROR(VLOOKUP($C526, merchants!$A$2:$D$41, 3, FALSE), "Merchant not found")</f>
        <v>travel</v>
      </c>
      <c r="G526" s="1">
        <v>46034.375694444447</v>
      </c>
      <c r="H526" s="4">
        <f t="shared" si="8"/>
        <v>46034</v>
      </c>
      <c r="I526">
        <v>399</v>
      </c>
      <c r="J526" s="2" t="s">
        <v>24</v>
      </c>
      <c r="K526" s="2" t="s">
        <v>25</v>
      </c>
      <c r="L526">
        <v>82</v>
      </c>
      <c r="M526">
        <f>IF(COUNTIFS($D$2:$D526, $D526, $H$2:$H526, $H526)=1, 1, 0)</f>
        <v>1</v>
      </c>
      <c r="N526">
        <f>_xlfn.IFNA(HLOOKUP($J526, fee_reference!$B$1:$E$2, 2, FALSE), 0)</f>
        <v>2.5000000000000001E-2</v>
      </c>
    </row>
    <row r="527" spans="1:14" x14ac:dyDescent="0.3">
      <c r="A527" s="2" t="s">
        <v>540</v>
      </c>
      <c r="B527">
        <v>73</v>
      </c>
      <c r="C527">
        <v>31</v>
      </c>
      <c r="D527" t="str">
        <f>IFERROR(VLOOKUP($C527,merchants!$A$2:$D$41,2,FALSE),"Merchant not found")</f>
        <v>Merchant_031</v>
      </c>
      <c r="E527" t="str">
        <f>IFERROR(VLOOKUP($C527, merchants!$A$2:$D$41, 4, FALSE), "Merchant not found")</f>
        <v>East</v>
      </c>
      <c r="F527" t="str">
        <f>IFERROR(VLOOKUP($C527, merchants!$A$2:$D$41, 3, FALSE), "Merchant not found")</f>
        <v>bill_payment</v>
      </c>
      <c r="G527" s="1">
        <v>46034.376388888886</v>
      </c>
      <c r="H527" s="4">
        <f t="shared" si="8"/>
        <v>46034</v>
      </c>
      <c r="I527">
        <v>299</v>
      </c>
      <c r="J527" s="2" t="s">
        <v>24</v>
      </c>
      <c r="K527" s="2" t="s">
        <v>25</v>
      </c>
      <c r="L527">
        <v>88</v>
      </c>
      <c r="M527">
        <f>IF(COUNTIFS($D$2:$D527, $D527, $H$2:$H527, $H527)=1, 1, 0)</f>
        <v>0</v>
      </c>
      <c r="N527">
        <f>_xlfn.IFNA(HLOOKUP($J527, fee_reference!$B$1:$E$2, 2, FALSE), 0)</f>
        <v>2.5000000000000001E-2</v>
      </c>
    </row>
    <row r="528" spans="1:14" x14ac:dyDescent="0.3">
      <c r="A528" s="2" t="s">
        <v>541</v>
      </c>
      <c r="B528">
        <v>73</v>
      </c>
      <c r="C528">
        <v>29</v>
      </c>
      <c r="D528" t="str">
        <f>IFERROR(VLOOKUP($C528,merchants!$A$2:$D$41,2,FALSE),"Merchant not found")</f>
        <v>Merchant_029</v>
      </c>
      <c r="E528" t="str">
        <f>IFERROR(VLOOKUP($C528, merchants!$A$2:$D$41, 4, FALSE), "Merchant not found")</f>
        <v>North</v>
      </c>
      <c r="F528" t="str">
        <f>IFERROR(VLOOKUP($C528, merchants!$A$2:$D$41, 3, FALSE), "Merchant not found")</f>
        <v>ecommerce</v>
      </c>
      <c r="G528" s="1">
        <v>46034.377083333333</v>
      </c>
      <c r="H528" s="4">
        <f t="shared" si="8"/>
        <v>46034</v>
      </c>
      <c r="I528">
        <v>399</v>
      </c>
      <c r="J528" s="2" t="s">
        <v>24</v>
      </c>
      <c r="K528" s="2" t="s">
        <v>10</v>
      </c>
      <c r="L528">
        <v>64</v>
      </c>
      <c r="M528">
        <f>IF(COUNTIFS($D$2:$D528, $D528, $H$2:$H528, $H528)=1, 1, 0)</f>
        <v>1</v>
      </c>
      <c r="N528">
        <f>_xlfn.IFNA(HLOOKUP($J528, fee_reference!$B$1:$E$2, 2, FALSE), 0)</f>
        <v>2.5000000000000001E-2</v>
      </c>
    </row>
    <row r="529" spans="1:14" x14ac:dyDescent="0.3">
      <c r="A529" s="2" t="s">
        <v>542</v>
      </c>
      <c r="B529">
        <v>154</v>
      </c>
      <c r="C529">
        <v>8</v>
      </c>
      <c r="D529" t="str">
        <f>IFERROR(VLOOKUP($C529,merchants!$A$2:$D$41,2,FALSE),"Merchant not found")</f>
        <v>Merchant_008</v>
      </c>
      <c r="E529" t="str">
        <f>IFERROR(VLOOKUP($C529, merchants!$A$2:$D$41, 4, FALSE), "Merchant not found")</f>
        <v>North</v>
      </c>
      <c r="F529" t="str">
        <f>IFERROR(VLOOKUP($C529, merchants!$A$2:$D$41, 3, FALSE), "Merchant not found")</f>
        <v>food_delivery</v>
      </c>
      <c r="G529" s="1">
        <v>46024.916666666664</v>
      </c>
      <c r="H529" s="4">
        <f t="shared" si="8"/>
        <v>46024</v>
      </c>
      <c r="I529">
        <v>299</v>
      </c>
      <c r="J529" s="2" t="s">
        <v>24</v>
      </c>
      <c r="K529" s="2" t="s">
        <v>25</v>
      </c>
      <c r="L529">
        <v>81</v>
      </c>
      <c r="M529">
        <f>IF(COUNTIFS($D$2:$D529, $D529, $H$2:$H529, $H529)=1, 1, 0)</f>
        <v>1</v>
      </c>
      <c r="N529">
        <f>_xlfn.IFNA(HLOOKUP($J529, fee_reference!$B$1:$E$2, 2, FALSE), 0)</f>
        <v>2.5000000000000001E-2</v>
      </c>
    </row>
    <row r="530" spans="1:14" x14ac:dyDescent="0.3">
      <c r="A530" s="2" t="s">
        <v>543</v>
      </c>
      <c r="B530">
        <v>154</v>
      </c>
      <c r="C530">
        <v>7</v>
      </c>
      <c r="D530" t="str">
        <f>IFERROR(VLOOKUP($C530,merchants!$A$2:$D$41,2,FALSE),"Merchant not found")</f>
        <v>Merchant_007</v>
      </c>
      <c r="E530" t="str">
        <f>IFERROR(VLOOKUP($C530, merchants!$A$2:$D$41, 4, FALSE), "Merchant not found")</f>
        <v>East</v>
      </c>
      <c r="F530" t="str">
        <f>IFERROR(VLOOKUP($C530, merchants!$A$2:$D$41, 3, FALSE), "Merchant not found")</f>
        <v>food_delivery</v>
      </c>
      <c r="G530" s="1">
        <v>46024.917361111111</v>
      </c>
      <c r="H530" s="4">
        <f t="shared" si="8"/>
        <v>46024</v>
      </c>
      <c r="I530">
        <v>499</v>
      </c>
      <c r="J530" s="2" t="s">
        <v>24</v>
      </c>
      <c r="K530" s="2" t="s">
        <v>25</v>
      </c>
      <c r="L530">
        <v>70</v>
      </c>
      <c r="M530">
        <f>IF(COUNTIFS($D$2:$D530, $D530, $H$2:$H530, $H530)=1, 1, 0)</f>
        <v>0</v>
      </c>
      <c r="N530">
        <f>_xlfn.IFNA(HLOOKUP($J530, fee_reference!$B$1:$E$2, 2, FALSE), 0)</f>
        <v>2.5000000000000001E-2</v>
      </c>
    </row>
    <row r="531" spans="1:14" x14ac:dyDescent="0.3">
      <c r="A531" s="2" t="s">
        <v>544</v>
      </c>
      <c r="B531">
        <v>154</v>
      </c>
      <c r="C531">
        <v>16</v>
      </c>
      <c r="D531" t="str">
        <f>IFERROR(VLOOKUP($C531,merchants!$A$2:$D$41,2,FALSE),"Merchant not found")</f>
        <v>Merchant_016</v>
      </c>
      <c r="E531" t="str">
        <f>IFERROR(VLOOKUP($C531, merchants!$A$2:$D$41, 4, FALSE), "Merchant not found")</f>
        <v>West</v>
      </c>
      <c r="F531" t="str">
        <f>IFERROR(VLOOKUP($C531, merchants!$A$2:$D$41, 3, FALSE), "Merchant not found")</f>
        <v>bill_payment</v>
      </c>
      <c r="G531" s="1">
        <v>46024.918055555558</v>
      </c>
      <c r="H531" s="4">
        <f t="shared" si="8"/>
        <v>46024</v>
      </c>
      <c r="I531">
        <v>499</v>
      </c>
      <c r="J531" s="2" t="s">
        <v>24</v>
      </c>
      <c r="K531" s="2" t="s">
        <v>25</v>
      </c>
      <c r="L531">
        <v>71</v>
      </c>
      <c r="M531">
        <f>IF(COUNTIFS($D$2:$D531, $D531, $H$2:$H531, $H531)=1, 1, 0)</f>
        <v>1</v>
      </c>
      <c r="N531">
        <f>_xlfn.IFNA(HLOOKUP($J531, fee_reference!$B$1:$E$2, 2, FALSE), 0)</f>
        <v>2.5000000000000001E-2</v>
      </c>
    </row>
    <row r="532" spans="1:14" x14ac:dyDescent="0.3">
      <c r="A532" s="2" t="s">
        <v>545</v>
      </c>
      <c r="B532">
        <v>154</v>
      </c>
      <c r="C532">
        <v>36</v>
      </c>
      <c r="D532" t="str">
        <f>IFERROR(VLOOKUP($C532,merchants!$A$2:$D$41,2,FALSE),"Merchant not found")</f>
        <v>Merchant_036</v>
      </c>
      <c r="E532" t="str">
        <f>IFERROR(VLOOKUP($C532, merchants!$A$2:$D$41, 4, FALSE), "Merchant not found")</f>
        <v>East</v>
      </c>
      <c r="F532" t="str">
        <f>IFERROR(VLOOKUP($C532, merchants!$A$2:$D$41, 3, FALSE), "Merchant not found")</f>
        <v>entertainment</v>
      </c>
      <c r="G532" s="1">
        <v>46024.918749999997</v>
      </c>
      <c r="H532" s="4">
        <f t="shared" si="8"/>
        <v>46024</v>
      </c>
      <c r="I532">
        <v>299</v>
      </c>
      <c r="J532" s="2" t="s">
        <v>24</v>
      </c>
      <c r="K532" s="2" t="s">
        <v>10</v>
      </c>
      <c r="L532">
        <v>81</v>
      </c>
      <c r="M532">
        <f>IF(COUNTIFS($D$2:$D532, $D532, $H$2:$H532, $H532)=1, 1, 0)</f>
        <v>1</v>
      </c>
      <c r="N532">
        <f>_xlfn.IFNA(HLOOKUP($J532, fee_reference!$B$1:$E$2, 2, FALSE), 0)</f>
        <v>2.5000000000000001E-2</v>
      </c>
    </row>
    <row r="533" spans="1:14" x14ac:dyDescent="0.3">
      <c r="A533" s="2" t="s">
        <v>546</v>
      </c>
      <c r="B533">
        <v>287</v>
      </c>
      <c r="C533">
        <v>15</v>
      </c>
      <c r="D533" t="str">
        <f>IFERROR(VLOOKUP($C533,merchants!$A$2:$D$41,2,FALSE),"Merchant not found")</f>
        <v>Merchant_015</v>
      </c>
      <c r="E533" t="str">
        <f>IFERROR(VLOOKUP($C533, merchants!$A$2:$D$41, 4, FALSE), "Merchant not found")</f>
        <v>North</v>
      </c>
      <c r="F533" t="str">
        <f>IFERROR(VLOOKUP($C533, merchants!$A$2:$D$41, 3, FALSE), "Merchant not found")</f>
        <v>travel</v>
      </c>
      <c r="G533" s="1">
        <v>46036.583333333336</v>
      </c>
      <c r="H533" s="4">
        <f t="shared" si="8"/>
        <v>46036</v>
      </c>
      <c r="I533">
        <v>399</v>
      </c>
      <c r="J533" s="2" t="s">
        <v>24</v>
      </c>
      <c r="K533" s="2" t="s">
        <v>25</v>
      </c>
      <c r="L533">
        <v>71</v>
      </c>
      <c r="M533">
        <f>IF(COUNTIFS($D$2:$D533, $D533, $H$2:$H533, $H533)=1, 1, 0)</f>
        <v>1</v>
      </c>
      <c r="N533">
        <f>_xlfn.IFNA(HLOOKUP($J533, fee_reference!$B$1:$E$2, 2, FALSE), 0)</f>
        <v>2.5000000000000001E-2</v>
      </c>
    </row>
    <row r="534" spans="1:14" x14ac:dyDescent="0.3">
      <c r="A534" s="2" t="s">
        <v>547</v>
      </c>
      <c r="B534">
        <v>287</v>
      </c>
      <c r="C534">
        <v>12</v>
      </c>
      <c r="D534" t="str">
        <f>IFERROR(VLOOKUP($C534,merchants!$A$2:$D$41,2,FALSE),"Merchant not found")</f>
        <v>Merchant_012</v>
      </c>
      <c r="E534" t="str">
        <f>IFERROR(VLOOKUP($C534, merchants!$A$2:$D$41, 4, FALSE), "Merchant not found")</f>
        <v>East</v>
      </c>
      <c r="F534" t="str">
        <f>IFERROR(VLOOKUP($C534, merchants!$A$2:$D$41, 3, FALSE), "Merchant not found")</f>
        <v>ecommerce</v>
      </c>
      <c r="G534" s="1">
        <v>46036.584027777775</v>
      </c>
      <c r="H534" s="4">
        <f t="shared" si="8"/>
        <v>46036</v>
      </c>
      <c r="I534">
        <v>499</v>
      </c>
      <c r="J534" s="2" t="s">
        <v>24</v>
      </c>
      <c r="K534" s="2" t="s">
        <v>25</v>
      </c>
      <c r="L534">
        <v>87</v>
      </c>
      <c r="M534">
        <f>IF(COUNTIFS($D$2:$D534, $D534, $H$2:$H534, $H534)=1, 1, 0)</f>
        <v>0</v>
      </c>
      <c r="N534">
        <f>_xlfn.IFNA(HLOOKUP($J534, fee_reference!$B$1:$E$2, 2, FALSE), 0)</f>
        <v>2.5000000000000001E-2</v>
      </c>
    </row>
    <row r="535" spans="1:14" x14ac:dyDescent="0.3">
      <c r="A535" s="2" t="s">
        <v>548</v>
      </c>
      <c r="B535">
        <v>287</v>
      </c>
      <c r="C535">
        <v>26</v>
      </c>
      <c r="D535" t="str">
        <f>IFERROR(VLOOKUP($C535,merchants!$A$2:$D$41,2,FALSE),"Merchant not found")</f>
        <v>Merchant_026</v>
      </c>
      <c r="E535" t="str">
        <f>IFERROR(VLOOKUP($C535, merchants!$A$2:$D$41, 4, FALSE), "Merchant not found")</f>
        <v>East</v>
      </c>
      <c r="F535" t="str">
        <f>IFERROR(VLOOKUP($C535, merchants!$A$2:$D$41, 3, FALSE), "Merchant not found")</f>
        <v>food_delivery</v>
      </c>
      <c r="G535" s="1">
        <v>46036.584722222222</v>
      </c>
      <c r="H535" s="4">
        <f t="shared" si="8"/>
        <v>46036</v>
      </c>
      <c r="I535">
        <v>299</v>
      </c>
      <c r="J535" s="2" t="s">
        <v>24</v>
      </c>
      <c r="K535" s="2" t="s">
        <v>25</v>
      </c>
      <c r="L535">
        <v>72</v>
      </c>
      <c r="M535">
        <f>IF(COUNTIFS($D$2:$D535, $D535, $H$2:$H535, $H535)=1, 1, 0)</f>
        <v>1</v>
      </c>
      <c r="N535">
        <f>_xlfn.IFNA(HLOOKUP($J535, fee_reference!$B$1:$E$2, 2, FALSE), 0)</f>
        <v>2.5000000000000001E-2</v>
      </c>
    </row>
    <row r="536" spans="1:14" x14ac:dyDescent="0.3">
      <c r="A536" s="2" t="s">
        <v>549</v>
      </c>
      <c r="B536">
        <v>287</v>
      </c>
      <c r="C536">
        <v>29</v>
      </c>
      <c r="D536" t="str">
        <f>IFERROR(VLOOKUP($C536,merchants!$A$2:$D$41,2,FALSE),"Merchant not found")</f>
        <v>Merchant_029</v>
      </c>
      <c r="E536" t="str">
        <f>IFERROR(VLOOKUP($C536, merchants!$A$2:$D$41, 4, FALSE), "Merchant not found")</f>
        <v>North</v>
      </c>
      <c r="F536" t="str">
        <f>IFERROR(VLOOKUP($C536, merchants!$A$2:$D$41, 3, FALSE), "Merchant not found")</f>
        <v>ecommerce</v>
      </c>
      <c r="G536" s="1">
        <v>46036.585416666669</v>
      </c>
      <c r="H536" s="4">
        <f t="shared" si="8"/>
        <v>46036</v>
      </c>
      <c r="I536">
        <v>499</v>
      </c>
      <c r="J536" s="2" t="s">
        <v>24</v>
      </c>
      <c r="K536" s="2" t="s">
        <v>10</v>
      </c>
      <c r="L536">
        <v>87</v>
      </c>
      <c r="M536">
        <f>IF(COUNTIFS($D$2:$D536, $D536, $H$2:$H536, $H536)=1, 1, 0)</f>
        <v>0</v>
      </c>
      <c r="N536">
        <f>_xlfn.IFNA(HLOOKUP($J536, fee_reference!$B$1:$E$2, 2, FALSE), 0)</f>
        <v>2.5000000000000001E-2</v>
      </c>
    </row>
    <row r="537" spans="1:14" x14ac:dyDescent="0.3">
      <c r="A537" s="2" t="s">
        <v>550</v>
      </c>
      <c r="B537">
        <v>200</v>
      </c>
      <c r="C537">
        <v>14</v>
      </c>
      <c r="D537" t="str">
        <f>IFERROR(VLOOKUP($C537,merchants!$A$2:$D$41,2,FALSE),"Merchant not found")</f>
        <v>Merchant_014</v>
      </c>
      <c r="E537" t="str">
        <f>IFERROR(VLOOKUP($C537, merchants!$A$2:$D$41, 4, FALSE), "Merchant not found")</f>
        <v>East</v>
      </c>
      <c r="F537" t="str">
        <f>IFERROR(VLOOKUP($C537, merchants!$A$2:$D$41, 3, FALSE), "Merchant not found")</f>
        <v>grocery</v>
      </c>
      <c r="G537" s="1">
        <v>46023.916666666664</v>
      </c>
      <c r="H537" s="4">
        <f t="shared" si="8"/>
        <v>46023</v>
      </c>
      <c r="I537">
        <v>299</v>
      </c>
      <c r="J537" s="2" t="s">
        <v>24</v>
      </c>
      <c r="K537" s="2" t="s">
        <v>25</v>
      </c>
      <c r="L537">
        <v>77</v>
      </c>
      <c r="M537">
        <f>IF(COUNTIFS($D$2:$D537, $D537, $H$2:$H537, $H537)=1, 1, 0)</f>
        <v>1</v>
      </c>
      <c r="N537">
        <f>_xlfn.IFNA(HLOOKUP($J537, fee_reference!$B$1:$E$2, 2, FALSE), 0)</f>
        <v>2.5000000000000001E-2</v>
      </c>
    </row>
    <row r="538" spans="1:14" x14ac:dyDescent="0.3">
      <c r="A538" s="2" t="s">
        <v>551</v>
      </c>
      <c r="B538">
        <v>200</v>
      </c>
      <c r="C538">
        <v>5</v>
      </c>
      <c r="D538" t="str">
        <f>IFERROR(VLOOKUP($C538,merchants!$A$2:$D$41,2,FALSE),"Merchant not found")</f>
        <v>Merchant_005</v>
      </c>
      <c r="E538" t="str">
        <f>IFERROR(VLOOKUP($C538, merchants!$A$2:$D$41, 4, FALSE), "Merchant not found")</f>
        <v>South</v>
      </c>
      <c r="F538" t="str">
        <f>IFERROR(VLOOKUP($C538, merchants!$A$2:$D$41, 3, FALSE), "Merchant not found")</f>
        <v>recharge</v>
      </c>
      <c r="G538" s="1">
        <v>46023.917361111111</v>
      </c>
      <c r="H538" s="4">
        <f t="shared" si="8"/>
        <v>46023</v>
      </c>
      <c r="I538">
        <v>499</v>
      </c>
      <c r="J538" s="2" t="s">
        <v>24</v>
      </c>
      <c r="K538" s="2" t="s">
        <v>25</v>
      </c>
      <c r="L538">
        <v>66</v>
      </c>
      <c r="M538">
        <f>IF(COUNTIFS($D$2:$D538, $D538, $H$2:$H538, $H538)=1, 1, 0)</f>
        <v>1</v>
      </c>
      <c r="N538">
        <f>_xlfn.IFNA(HLOOKUP($J538, fee_reference!$B$1:$E$2, 2, FALSE), 0)</f>
        <v>2.5000000000000001E-2</v>
      </c>
    </row>
    <row r="539" spans="1:14" x14ac:dyDescent="0.3">
      <c r="A539" s="2" t="s">
        <v>552</v>
      </c>
      <c r="B539">
        <v>200</v>
      </c>
      <c r="C539">
        <v>35</v>
      </c>
      <c r="D539" t="str">
        <f>IFERROR(VLOOKUP($C539,merchants!$A$2:$D$41,2,FALSE),"Merchant not found")</f>
        <v>Merchant_035</v>
      </c>
      <c r="E539" t="str">
        <f>IFERROR(VLOOKUP($C539, merchants!$A$2:$D$41, 4, FALSE), "Merchant not found")</f>
        <v>East</v>
      </c>
      <c r="F539" t="str">
        <f>IFERROR(VLOOKUP($C539, merchants!$A$2:$D$41, 3, FALSE), "Merchant not found")</f>
        <v>recharge</v>
      </c>
      <c r="G539" s="1">
        <v>46023.918055555558</v>
      </c>
      <c r="H539" s="4">
        <f t="shared" si="8"/>
        <v>46023</v>
      </c>
      <c r="I539">
        <v>299</v>
      </c>
      <c r="J539" s="2" t="s">
        <v>24</v>
      </c>
      <c r="K539" s="2" t="s">
        <v>25</v>
      </c>
      <c r="L539">
        <v>83</v>
      </c>
      <c r="M539">
        <f>IF(COUNTIFS($D$2:$D539, $D539, $H$2:$H539, $H539)=1, 1, 0)</f>
        <v>0</v>
      </c>
      <c r="N539">
        <f>_xlfn.IFNA(HLOOKUP($J539, fee_reference!$B$1:$E$2, 2, FALSE), 0)</f>
        <v>2.5000000000000001E-2</v>
      </c>
    </row>
    <row r="540" spans="1:14" x14ac:dyDescent="0.3">
      <c r="A540" s="2" t="s">
        <v>553</v>
      </c>
      <c r="B540">
        <v>200</v>
      </c>
      <c r="C540">
        <v>21</v>
      </c>
      <c r="D540" t="str">
        <f>IFERROR(VLOOKUP($C540,merchants!$A$2:$D$41,2,FALSE),"Merchant not found")</f>
        <v>Merchant_021</v>
      </c>
      <c r="E540" t="str">
        <f>IFERROR(VLOOKUP($C540, merchants!$A$2:$D$41, 4, FALSE), "Merchant not found")</f>
        <v>East</v>
      </c>
      <c r="F540" t="str">
        <f>IFERROR(VLOOKUP($C540, merchants!$A$2:$D$41, 3, FALSE), "Merchant not found")</f>
        <v>food_delivery</v>
      </c>
      <c r="G540" s="1">
        <v>46023.918749999997</v>
      </c>
      <c r="H540" s="4">
        <f t="shared" si="8"/>
        <v>46023</v>
      </c>
      <c r="I540">
        <v>299</v>
      </c>
      <c r="J540" s="2" t="s">
        <v>24</v>
      </c>
      <c r="K540" s="2" t="s">
        <v>10</v>
      </c>
      <c r="L540">
        <v>89</v>
      </c>
      <c r="M540">
        <f>IF(COUNTIFS($D$2:$D540, $D540, $H$2:$H540, $H540)=1, 1, 0)</f>
        <v>0</v>
      </c>
      <c r="N540">
        <f>_xlfn.IFNA(HLOOKUP($J540, fee_reference!$B$1:$E$2, 2, FALSE), 0)</f>
        <v>2.5000000000000001E-2</v>
      </c>
    </row>
    <row r="541" spans="1:14" x14ac:dyDescent="0.3">
      <c r="A541" s="2" t="s">
        <v>554</v>
      </c>
      <c r="B541">
        <v>59</v>
      </c>
      <c r="C541">
        <v>32</v>
      </c>
      <c r="D541" t="str">
        <f>IFERROR(VLOOKUP($C541,merchants!$A$2:$D$41,2,FALSE),"Merchant not found")</f>
        <v>Merchant_032</v>
      </c>
      <c r="E541" t="str">
        <f>IFERROR(VLOOKUP($C541, merchants!$A$2:$D$41, 4, FALSE), "Merchant not found")</f>
        <v>West</v>
      </c>
      <c r="F541" t="str">
        <f>IFERROR(VLOOKUP($C541, merchants!$A$2:$D$41, 3, FALSE), "Merchant not found")</f>
        <v>food_delivery</v>
      </c>
      <c r="G541" s="1">
        <v>46031.875</v>
      </c>
      <c r="H541" s="4">
        <f t="shared" si="8"/>
        <v>46031</v>
      </c>
      <c r="I541">
        <v>499</v>
      </c>
      <c r="J541" s="2" t="s">
        <v>24</v>
      </c>
      <c r="K541" s="2" t="s">
        <v>25</v>
      </c>
      <c r="L541">
        <v>80</v>
      </c>
      <c r="M541">
        <f>IF(COUNTIFS($D$2:$D541, $D541, $H$2:$H541, $H541)=1, 1, 0)</f>
        <v>1</v>
      </c>
      <c r="N541">
        <f>_xlfn.IFNA(HLOOKUP($J541, fee_reference!$B$1:$E$2, 2, FALSE), 0)</f>
        <v>2.5000000000000001E-2</v>
      </c>
    </row>
    <row r="542" spans="1:14" x14ac:dyDescent="0.3">
      <c r="A542" s="2" t="s">
        <v>555</v>
      </c>
      <c r="B542">
        <v>59</v>
      </c>
      <c r="C542">
        <v>39</v>
      </c>
      <c r="D542" t="str">
        <f>IFERROR(VLOOKUP($C542,merchants!$A$2:$D$41,2,FALSE),"Merchant not found")</f>
        <v>Merchant_039</v>
      </c>
      <c r="E542" t="str">
        <f>IFERROR(VLOOKUP($C542, merchants!$A$2:$D$41, 4, FALSE), "Merchant not found")</f>
        <v>North</v>
      </c>
      <c r="F542" t="str">
        <f>IFERROR(VLOOKUP($C542, merchants!$A$2:$D$41, 3, FALSE), "Merchant not found")</f>
        <v>entertainment</v>
      </c>
      <c r="G542" s="1">
        <v>46031.875694444447</v>
      </c>
      <c r="H542" s="4">
        <f t="shared" si="8"/>
        <v>46031</v>
      </c>
      <c r="I542">
        <v>399</v>
      </c>
      <c r="J542" s="2" t="s">
        <v>24</v>
      </c>
      <c r="K542" s="2" t="s">
        <v>25</v>
      </c>
      <c r="L542">
        <v>85</v>
      </c>
      <c r="M542">
        <f>IF(COUNTIFS($D$2:$D542, $D542, $H$2:$H542, $H542)=1, 1, 0)</f>
        <v>1</v>
      </c>
      <c r="N542">
        <f>_xlfn.IFNA(HLOOKUP($J542, fee_reference!$B$1:$E$2, 2, FALSE), 0)</f>
        <v>2.5000000000000001E-2</v>
      </c>
    </row>
    <row r="543" spans="1:14" x14ac:dyDescent="0.3">
      <c r="A543" s="2" t="s">
        <v>556</v>
      </c>
      <c r="B543">
        <v>59</v>
      </c>
      <c r="C543">
        <v>38</v>
      </c>
      <c r="D543" t="str">
        <f>IFERROR(VLOOKUP($C543,merchants!$A$2:$D$41,2,FALSE),"Merchant not found")</f>
        <v>Merchant_038</v>
      </c>
      <c r="E543" t="str">
        <f>IFERROR(VLOOKUP($C543, merchants!$A$2:$D$41, 4, FALSE), "Merchant not found")</f>
        <v>East</v>
      </c>
      <c r="F543" t="str">
        <f>IFERROR(VLOOKUP($C543, merchants!$A$2:$D$41, 3, FALSE), "Merchant not found")</f>
        <v>grocery</v>
      </c>
      <c r="G543" s="1">
        <v>46031.876388888886</v>
      </c>
      <c r="H543" s="4">
        <f t="shared" si="8"/>
        <v>46031</v>
      </c>
      <c r="I543">
        <v>299</v>
      </c>
      <c r="J543" s="2" t="s">
        <v>24</v>
      </c>
      <c r="K543" s="2" t="s">
        <v>25</v>
      </c>
      <c r="L543">
        <v>82</v>
      </c>
      <c r="M543">
        <f>IF(COUNTIFS($D$2:$D543, $D543, $H$2:$H543, $H543)=1, 1, 0)</f>
        <v>0</v>
      </c>
      <c r="N543">
        <f>_xlfn.IFNA(HLOOKUP($J543, fee_reference!$B$1:$E$2, 2, FALSE), 0)</f>
        <v>2.5000000000000001E-2</v>
      </c>
    </row>
    <row r="544" spans="1:14" x14ac:dyDescent="0.3">
      <c r="A544" s="2" t="s">
        <v>557</v>
      </c>
      <c r="B544">
        <v>59</v>
      </c>
      <c r="C544">
        <v>23</v>
      </c>
      <c r="D544" t="str">
        <f>IFERROR(VLOOKUP($C544,merchants!$A$2:$D$41,2,FALSE),"Merchant not found")</f>
        <v>Merchant_023</v>
      </c>
      <c r="E544" t="str">
        <f>IFERROR(VLOOKUP($C544, merchants!$A$2:$D$41, 4, FALSE), "Merchant not found")</f>
        <v>North</v>
      </c>
      <c r="F544" t="str">
        <f>IFERROR(VLOOKUP($C544, merchants!$A$2:$D$41, 3, FALSE), "Merchant not found")</f>
        <v>travel</v>
      </c>
      <c r="G544" s="1">
        <v>46031.877083333333</v>
      </c>
      <c r="H544" s="4">
        <f t="shared" si="8"/>
        <v>46031</v>
      </c>
      <c r="I544">
        <v>399</v>
      </c>
      <c r="J544" s="2" t="s">
        <v>24</v>
      </c>
      <c r="K544" s="2" t="s">
        <v>10</v>
      </c>
      <c r="L544">
        <v>71</v>
      </c>
      <c r="M544">
        <f>IF(COUNTIFS($D$2:$D544, $D544, $H$2:$H544, $H544)=1, 1, 0)</f>
        <v>1</v>
      </c>
      <c r="N544">
        <f>_xlfn.IFNA(HLOOKUP($J544, fee_reference!$B$1:$E$2, 2, FALSE), 0)</f>
        <v>2.5000000000000001E-2</v>
      </c>
    </row>
    <row r="545" spans="1:14" x14ac:dyDescent="0.3">
      <c r="A545" s="2" t="s">
        <v>558</v>
      </c>
      <c r="B545">
        <v>345</v>
      </c>
      <c r="C545">
        <v>40</v>
      </c>
      <c r="D545" t="str">
        <f>IFERROR(VLOOKUP($C545,merchants!$A$2:$D$41,2,FALSE),"Merchant not found")</f>
        <v>Merchant_040</v>
      </c>
      <c r="E545" t="str">
        <f>IFERROR(VLOOKUP($C545, merchants!$A$2:$D$41, 4, FALSE), "Merchant not found")</f>
        <v>South</v>
      </c>
      <c r="F545" t="str">
        <f>IFERROR(VLOOKUP($C545, merchants!$A$2:$D$41, 3, FALSE), "Merchant not found")</f>
        <v>entertainment</v>
      </c>
      <c r="G545" s="1">
        <v>46045.375</v>
      </c>
      <c r="H545" s="4">
        <f t="shared" si="8"/>
        <v>46045</v>
      </c>
      <c r="I545">
        <v>499</v>
      </c>
      <c r="J545" s="2" t="s">
        <v>24</v>
      </c>
      <c r="K545" s="2" t="s">
        <v>25</v>
      </c>
      <c r="L545">
        <v>65</v>
      </c>
      <c r="M545">
        <f>IF(COUNTIFS($D$2:$D545, $D545, $H$2:$H545, $H545)=1, 1, 0)</f>
        <v>0</v>
      </c>
      <c r="N545">
        <f>_xlfn.IFNA(HLOOKUP($J545, fee_reference!$B$1:$E$2, 2, FALSE), 0)</f>
        <v>2.5000000000000001E-2</v>
      </c>
    </row>
    <row r="546" spans="1:14" x14ac:dyDescent="0.3">
      <c r="A546" s="2" t="s">
        <v>559</v>
      </c>
      <c r="B546">
        <v>345</v>
      </c>
      <c r="C546">
        <v>9</v>
      </c>
      <c r="D546" t="str">
        <f>IFERROR(VLOOKUP($C546,merchants!$A$2:$D$41,2,FALSE),"Merchant not found")</f>
        <v>Merchant_009</v>
      </c>
      <c r="E546" t="str">
        <f>IFERROR(VLOOKUP($C546, merchants!$A$2:$D$41, 4, FALSE), "Merchant not found")</f>
        <v>North</v>
      </c>
      <c r="F546" t="str">
        <f>IFERROR(VLOOKUP($C546, merchants!$A$2:$D$41, 3, FALSE), "Merchant not found")</f>
        <v>ecommerce</v>
      </c>
      <c r="G546" s="1">
        <v>46045.375694444447</v>
      </c>
      <c r="H546" s="4">
        <f t="shared" si="8"/>
        <v>46045</v>
      </c>
      <c r="I546">
        <v>399</v>
      </c>
      <c r="J546" s="2" t="s">
        <v>24</v>
      </c>
      <c r="K546" s="2" t="s">
        <v>25</v>
      </c>
      <c r="L546">
        <v>67</v>
      </c>
      <c r="M546">
        <f>IF(COUNTIFS($D$2:$D546, $D546, $H$2:$H546, $H546)=1, 1, 0)</f>
        <v>0</v>
      </c>
      <c r="N546">
        <f>_xlfn.IFNA(HLOOKUP($J546, fee_reference!$B$1:$E$2, 2, FALSE), 0)</f>
        <v>2.5000000000000001E-2</v>
      </c>
    </row>
    <row r="547" spans="1:14" x14ac:dyDescent="0.3">
      <c r="A547" s="2" t="s">
        <v>560</v>
      </c>
      <c r="B547">
        <v>345</v>
      </c>
      <c r="C547">
        <v>16</v>
      </c>
      <c r="D547" t="str">
        <f>IFERROR(VLOOKUP($C547,merchants!$A$2:$D$41,2,FALSE),"Merchant not found")</f>
        <v>Merchant_016</v>
      </c>
      <c r="E547" t="str">
        <f>IFERROR(VLOOKUP($C547, merchants!$A$2:$D$41, 4, FALSE), "Merchant not found")</f>
        <v>West</v>
      </c>
      <c r="F547" t="str">
        <f>IFERROR(VLOOKUP($C547, merchants!$A$2:$D$41, 3, FALSE), "Merchant not found")</f>
        <v>bill_payment</v>
      </c>
      <c r="G547" s="1">
        <v>46045.376388888886</v>
      </c>
      <c r="H547" s="4">
        <f t="shared" si="8"/>
        <v>46045</v>
      </c>
      <c r="I547">
        <v>399</v>
      </c>
      <c r="J547" s="2" t="s">
        <v>24</v>
      </c>
      <c r="K547" s="2" t="s">
        <v>25</v>
      </c>
      <c r="L547">
        <v>67</v>
      </c>
      <c r="M547">
        <f>IF(COUNTIFS($D$2:$D547, $D547, $H$2:$H547, $H547)=1, 1, 0)</f>
        <v>1</v>
      </c>
      <c r="N547">
        <f>_xlfn.IFNA(HLOOKUP($J547, fee_reference!$B$1:$E$2, 2, FALSE), 0)</f>
        <v>2.5000000000000001E-2</v>
      </c>
    </row>
    <row r="548" spans="1:14" x14ac:dyDescent="0.3">
      <c r="A548" s="2" t="s">
        <v>561</v>
      </c>
      <c r="B548">
        <v>345</v>
      </c>
      <c r="C548">
        <v>12</v>
      </c>
      <c r="D548" t="str">
        <f>IFERROR(VLOOKUP($C548,merchants!$A$2:$D$41,2,FALSE),"Merchant not found")</f>
        <v>Merchant_012</v>
      </c>
      <c r="E548" t="str">
        <f>IFERROR(VLOOKUP($C548, merchants!$A$2:$D$41, 4, FALSE), "Merchant not found")</f>
        <v>East</v>
      </c>
      <c r="F548" t="str">
        <f>IFERROR(VLOOKUP($C548, merchants!$A$2:$D$41, 3, FALSE), "Merchant not found")</f>
        <v>ecommerce</v>
      </c>
      <c r="G548" s="1">
        <v>46045.377083333333</v>
      </c>
      <c r="H548" s="4">
        <f t="shared" si="8"/>
        <v>46045</v>
      </c>
      <c r="I548">
        <v>399</v>
      </c>
      <c r="J548" s="2" t="s">
        <v>24</v>
      </c>
      <c r="K548" s="2" t="s">
        <v>10</v>
      </c>
      <c r="L548">
        <v>69</v>
      </c>
      <c r="M548">
        <f>IF(COUNTIFS($D$2:$D548, $D548, $H$2:$H548, $H548)=1, 1, 0)</f>
        <v>0</v>
      </c>
      <c r="N548">
        <f>_xlfn.IFNA(HLOOKUP($J548, fee_reference!$B$1:$E$2, 2, FALSE), 0)</f>
        <v>2.5000000000000001E-2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C3F2F-507E-45A2-83E8-A3B54F9C9096}">
  <dimension ref="A1:D41"/>
  <sheetViews>
    <sheetView workbookViewId="0"/>
  </sheetViews>
  <sheetFormatPr defaultRowHeight="14.4" x14ac:dyDescent="0.3"/>
  <cols>
    <col min="1" max="1" width="13.88671875" bestFit="1" customWidth="1"/>
    <col min="2" max="2" width="17.21875" bestFit="1" customWidth="1"/>
    <col min="3" max="3" width="12.6640625" bestFit="1" customWidth="1"/>
    <col min="4" max="4" width="8.5546875" bestFit="1" customWidth="1"/>
  </cols>
  <sheetData>
    <row r="1" spans="1:4" x14ac:dyDescent="0.3">
      <c r="A1" t="s">
        <v>2</v>
      </c>
      <c r="B1" t="s">
        <v>562</v>
      </c>
      <c r="C1" t="s">
        <v>563</v>
      </c>
      <c r="D1" t="s">
        <v>564</v>
      </c>
    </row>
    <row r="2" spans="1:4" x14ac:dyDescent="0.3">
      <c r="A2">
        <v>1</v>
      </c>
      <c r="B2" s="2" t="s">
        <v>565</v>
      </c>
      <c r="C2" s="2" t="s">
        <v>566</v>
      </c>
      <c r="D2" s="2" t="s">
        <v>567</v>
      </c>
    </row>
    <row r="3" spans="1:4" x14ac:dyDescent="0.3">
      <c r="A3">
        <v>2</v>
      </c>
      <c r="B3" s="2" t="s">
        <v>568</v>
      </c>
      <c r="C3" s="2" t="s">
        <v>569</v>
      </c>
      <c r="D3" s="2" t="s">
        <v>570</v>
      </c>
    </row>
    <row r="4" spans="1:4" x14ac:dyDescent="0.3">
      <c r="A4">
        <v>3</v>
      </c>
      <c r="B4" s="2" t="s">
        <v>571</v>
      </c>
      <c r="C4" s="2" t="s">
        <v>569</v>
      </c>
      <c r="D4" s="2" t="s">
        <v>572</v>
      </c>
    </row>
    <row r="5" spans="1:4" x14ac:dyDescent="0.3">
      <c r="A5">
        <v>4</v>
      </c>
      <c r="B5" s="2" t="s">
        <v>573</v>
      </c>
      <c r="C5" s="2" t="s">
        <v>566</v>
      </c>
      <c r="D5" s="2" t="s">
        <v>572</v>
      </c>
    </row>
    <row r="6" spans="1:4" x14ac:dyDescent="0.3">
      <c r="A6">
        <v>5</v>
      </c>
      <c r="B6" s="2" t="s">
        <v>574</v>
      </c>
      <c r="C6" s="2" t="s">
        <v>575</v>
      </c>
      <c r="D6" s="2" t="s">
        <v>567</v>
      </c>
    </row>
    <row r="7" spans="1:4" x14ac:dyDescent="0.3">
      <c r="A7">
        <v>6</v>
      </c>
      <c r="B7" s="2" t="s">
        <v>576</v>
      </c>
      <c r="C7" s="2" t="s">
        <v>577</v>
      </c>
      <c r="D7" s="2" t="s">
        <v>567</v>
      </c>
    </row>
    <row r="8" spans="1:4" x14ac:dyDescent="0.3">
      <c r="A8">
        <v>7</v>
      </c>
      <c r="B8" s="2" t="s">
        <v>578</v>
      </c>
      <c r="C8" s="2" t="s">
        <v>577</v>
      </c>
      <c r="D8" s="2" t="s">
        <v>572</v>
      </c>
    </row>
    <row r="9" spans="1:4" x14ac:dyDescent="0.3">
      <c r="A9">
        <v>8</v>
      </c>
      <c r="B9" s="2" t="s">
        <v>579</v>
      </c>
      <c r="C9" s="2" t="s">
        <v>577</v>
      </c>
      <c r="D9" s="2" t="s">
        <v>580</v>
      </c>
    </row>
    <row r="10" spans="1:4" x14ac:dyDescent="0.3">
      <c r="A10">
        <v>9</v>
      </c>
      <c r="B10" s="2" t="s">
        <v>581</v>
      </c>
      <c r="C10" s="2" t="s">
        <v>566</v>
      </c>
      <c r="D10" s="2" t="s">
        <v>580</v>
      </c>
    </row>
    <row r="11" spans="1:4" x14ac:dyDescent="0.3">
      <c r="A11">
        <v>10</v>
      </c>
      <c r="B11" s="2" t="s">
        <v>582</v>
      </c>
      <c r="C11" s="2" t="s">
        <v>569</v>
      </c>
      <c r="D11" s="2" t="s">
        <v>570</v>
      </c>
    </row>
    <row r="12" spans="1:4" x14ac:dyDescent="0.3">
      <c r="A12">
        <v>11</v>
      </c>
      <c r="B12" s="2" t="s">
        <v>583</v>
      </c>
      <c r="C12" s="2" t="s">
        <v>566</v>
      </c>
      <c r="D12" s="2" t="s">
        <v>580</v>
      </c>
    </row>
    <row r="13" spans="1:4" x14ac:dyDescent="0.3">
      <c r="A13">
        <v>12</v>
      </c>
      <c r="B13" s="2" t="s">
        <v>584</v>
      </c>
      <c r="C13" s="2" t="s">
        <v>566</v>
      </c>
      <c r="D13" s="2" t="s">
        <v>572</v>
      </c>
    </row>
    <row r="14" spans="1:4" x14ac:dyDescent="0.3">
      <c r="A14">
        <v>13</v>
      </c>
      <c r="B14" s="2" t="s">
        <v>585</v>
      </c>
      <c r="C14" s="2" t="s">
        <v>586</v>
      </c>
      <c r="D14" s="2" t="s">
        <v>572</v>
      </c>
    </row>
    <row r="15" spans="1:4" x14ac:dyDescent="0.3">
      <c r="A15">
        <v>14</v>
      </c>
      <c r="B15" s="2" t="s">
        <v>587</v>
      </c>
      <c r="C15" s="2" t="s">
        <v>569</v>
      </c>
      <c r="D15" s="2" t="s">
        <v>572</v>
      </c>
    </row>
    <row r="16" spans="1:4" x14ac:dyDescent="0.3">
      <c r="A16">
        <v>15</v>
      </c>
      <c r="B16" s="2" t="s">
        <v>588</v>
      </c>
      <c r="C16" s="2" t="s">
        <v>586</v>
      </c>
      <c r="D16" s="2" t="s">
        <v>580</v>
      </c>
    </row>
    <row r="17" spans="1:4" x14ac:dyDescent="0.3">
      <c r="A17">
        <v>16</v>
      </c>
      <c r="B17" s="2" t="s">
        <v>589</v>
      </c>
      <c r="C17" s="2" t="s">
        <v>590</v>
      </c>
      <c r="D17" s="2" t="s">
        <v>570</v>
      </c>
    </row>
    <row r="18" spans="1:4" x14ac:dyDescent="0.3">
      <c r="A18">
        <v>17</v>
      </c>
      <c r="B18" s="2" t="s">
        <v>591</v>
      </c>
      <c r="C18" s="2" t="s">
        <v>569</v>
      </c>
      <c r="D18" s="2" t="s">
        <v>580</v>
      </c>
    </row>
    <row r="19" spans="1:4" x14ac:dyDescent="0.3">
      <c r="A19">
        <v>18</v>
      </c>
      <c r="B19" s="2" t="s">
        <v>592</v>
      </c>
      <c r="C19" s="2" t="s">
        <v>569</v>
      </c>
      <c r="D19" s="2" t="s">
        <v>570</v>
      </c>
    </row>
    <row r="20" spans="1:4" x14ac:dyDescent="0.3">
      <c r="A20">
        <v>19</v>
      </c>
      <c r="B20" s="2" t="s">
        <v>593</v>
      </c>
      <c r="C20" s="2" t="s">
        <v>569</v>
      </c>
      <c r="D20" s="2" t="s">
        <v>580</v>
      </c>
    </row>
    <row r="21" spans="1:4" x14ac:dyDescent="0.3">
      <c r="A21">
        <v>20</v>
      </c>
      <c r="B21" s="2" t="s">
        <v>594</v>
      </c>
      <c r="C21" s="2" t="s">
        <v>577</v>
      </c>
      <c r="D21" s="2" t="s">
        <v>572</v>
      </c>
    </row>
    <row r="22" spans="1:4" x14ac:dyDescent="0.3">
      <c r="A22">
        <v>21</v>
      </c>
      <c r="B22" s="2" t="s">
        <v>595</v>
      </c>
      <c r="C22" s="2" t="s">
        <v>577</v>
      </c>
      <c r="D22" s="2" t="s">
        <v>572</v>
      </c>
    </row>
    <row r="23" spans="1:4" x14ac:dyDescent="0.3">
      <c r="A23">
        <v>22</v>
      </c>
      <c r="B23" s="2" t="s">
        <v>596</v>
      </c>
      <c r="C23" s="2" t="s">
        <v>586</v>
      </c>
      <c r="D23" s="2" t="s">
        <v>567</v>
      </c>
    </row>
    <row r="24" spans="1:4" x14ac:dyDescent="0.3">
      <c r="A24">
        <v>23</v>
      </c>
      <c r="B24" s="2" t="s">
        <v>597</v>
      </c>
      <c r="C24" s="2" t="s">
        <v>586</v>
      </c>
      <c r="D24" s="2" t="s">
        <v>580</v>
      </c>
    </row>
    <row r="25" spans="1:4" x14ac:dyDescent="0.3">
      <c r="A25">
        <v>24</v>
      </c>
      <c r="B25" s="2" t="s">
        <v>598</v>
      </c>
      <c r="C25" s="2" t="s">
        <v>569</v>
      </c>
      <c r="D25" s="2" t="s">
        <v>580</v>
      </c>
    </row>
    <row r="26" spans="1:4" x14ac:dyDescent="0.3">
      <c r="A26">
        <v>25</v>
      </c>
      <c r="B26" s="2" t="s">
        <v>599</v>
      </c>
      <c r="C26" s="2" t="s">
        <v>586</v>
      </c>
      <c r="D26" s="2" t="s">
        <v>567</v>
      </c>
    </row>
    <row r="27" spans="1:4" x14ac:dyDescent="0.3">
      <c r="A27">
        <v>26</v>
      </c>
      <c r="B27" s="2" t="s">
        <v>600</v>
      </c>
      <c r="C27" s="2" t="s">
        <v>577</v>
      </c>
      <c r="D27" s="2" t="s">
        <v>572</v>
      </c>
    </row>
    <row r="28" spans="1:4" x14ac:dyDescent="0.3">
      <c r="A28">
        <v>27</v>
      </c>
      <c r="B28" s="2" t="s">
        <v>601</v>
      </c>
      <c r="C28" s="2" t="s">
        <v>566</v>
      </c>
      <c r="D28" s="2" t="s">
        <v>580</v>
      </c>
    </row>
    <row r="29" spans="1:4" x14ac:dyDescent="0.3">
      <c r="A29">
        <v>28</v>
      </c>
      <c r="B29" s="2" t="s">
        <v>602</v>
      </c>
      <c r="C29" s="2" t="s">
        <v>566</v>
      </c>
      <c r="D29" s="2" t="s">
        <v>567</v>
      </c>
    </row>
    <row r="30" spans="1:4" x14ac:dyDescent="0.3">
      <c r="A30">
        <v>29</v>
      </c>
      <c r="B30" s="2" t="s">
        <v>603</v>
      </c>
      <c r="C30" s="2" t="s">
        <v>566</v>
      </c>
      <c r="D30" s="2" t="s">
        <v>580</v>
      </c>
    </row>
    <row r="31" spans="1:4" x14ac:dyDescent="0.3">
      <c r="A31">
        <v>30</v>
      </c>
      <c r="B31" s="2" t="s">
        <v>604</v>
      </c>
      <c r="C31" s="2" t="s">
        <v>586</v>
      </c>
      <c r="D31" s="2" t="s">
        <v>570</v>
      </c>
    </row>
    <row r="32" spans="1:4" x14ac:dyDescent="0.3">
      <c r="A32">
        <v>31</v>
      </c>
      <c r="B32" s="2" t="s">
        <v>605</v>
      </c>
      <c r="C32" s="2" t="s">
        <v>590</v>
      </c>
      <c r="D32" s="2" t="s">
        <v>572</v>
      </c>
    </row>
    <row r="33" spans="1:4" x14ac:dyDescent="0.3">
      <c r="A33">
        <v>32</v>
      </c>
      <c r="B33" s="2" t="s">
        <v>606</v>
      </c>
      <c r="C33" s="2" t="s">
        <v>577</v>
      </c>
      <c r="D33" s="2" t="s">
        <v>570</v>
      </c>
    </row>
    <row r="34" spans="1:4" x14ac:dyDescent="0.3">
      <c r="A34">
        <v>33</v>
      </c>
      <c r="B34" s="2" t="s">
        <v>607</v>
      </c>
      <c r="C34" s="2" t="s">
        <v>590</v>
      </c>
      <c r="D34" s="2" t="s">
        <v>572</v>
      </c>
    </row>
    <row r="35" spans="1:4" x14ac:dyDescent="0.3">
      <c r="A35">
        <v>34</v>
      </c>
      <c r="B35" s="2" t="s">
        <v>608</v>
      </c>
      <c r="C35" s="2" t="s">
        <v>586</v>
      </c>
      <c r="D35" s="2" t="s">
        <v>567</v>
      </c>
    </row>
    <row r="36" spans="1:4" x14ac:dyDescent="0.3">
      <c r="A36">
        <v>35</v>
      </c>
      <c r="B36" s="2" t="s">
        <v>609</v>
      </c>
      <c r="C36" s="2" t="s">
        <v>575</v>
      </c>
      <c r="D36" s="2" t="s">
        <v>572</v>
      </c>
    </row>
    <row r="37" spans="1:4" x14ac:dyDescent="0.3">
      <c r="A37">
        <v>36</v>
      </c>
      <c r="B37" s="2" t="s">
        <v>610</v>
      </c>
      <c r="C37" s="2" t="s">
        <v>611</v>
      </c>
      <c r="D37" s="2" t="s">
        <v>572</v>
      </c>
    </row>
    <row r="38" spans="1:4" x14ac:dyDescent="0.3">
      <c r="A38">
        <v>37</v>
      </c>
      <c r="B38" s="2" t="s">
        <v>612</v>
      </c>
      <c r="C38" s="2" t="s">
        <v>611</v>
      </c>
      <c r="D38" s="2" t="s">
        <v>567</v>
      </c>
    </row>
    <row r="39" spans="1:4" x14ac:dyDescent="0.3">
      <c r="A39">
        <v>38</v>
      </c>
      <c r="B39" s="2" t="s">
        <v>613</v>
      </c>
      <c r="C39" s="2" t="s">
        <v>569</v>
      </c>
      <c r="D39" s="2" t="s">
        <v>572</v>
      </c>
    </row>
    <row r="40" spans="1:4" x14ac:dyDescent="0.3">
      <c r="A40">
        <v>39</v>
      </c>
      <c r="B40" s="2" t="s">
        <v>614</v>
      </c>
      <c r="C40" s="2" t="s">
        <v>611</v>
      </c>
      <c r="D40" s="2" t="s">
        <v>580</v>
      </c>
    </row>
    <row r="41" spans="1:4" x14ac:dyDescent="0.3">
      <c r="A41">
        <v>40</v>
      </c>
      <c r="B41" s="2" t="s">
        <v>615</v>
      </c>
      <c r="C41" s="2" t="s">
        <v>611</v>
      </c>
      <c r="D41" s="2" t="s">
        <v>567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72AF-683F-4B57-B396-9F670CA4AC2F}">
  <dimension ref="A1:E2"/>
  <sheetViews>
    <sheetView workbookViewId="0">
      <selection activeCell="C20" sqref="C20"/>
    </sheetView>
  </sheetViews>
  <sheetFormatPr defaultRowHeight="14.4" x14ac:dyDescent="0.3"/>
  <cols>
    <col min="1" max="1" width="11.21875" customWidth="1"/>
    <col min="2" max="2" width="10" customWidth="1"/>
    <col min="3" max="3" width="11.109375" customWidth="1"/>
    <col min="4" max="4" width="10.44140625" customWidth="1"/>
    <col min="5" max="5" width="13" bestFit="1" customWidth="1"/>
  </cols>
  <sheetData>
    <row r="1" spans="1:5" x14ac:dyDescent="0.3">
      <c r="A1" t="s">
        <v>618</v>
      </c>
      <c r="B1" t="s">
        <v>12</v>
      </c>
      <c r="C1" t="s">
        <v>9</v>
      </c>
      <c r="D1" t="s">
        <v>24</v>
      </c>
      <c r="E1" t="s">
        <v>15</v>
      </c>
    </row>
    <row r="2" spans="1:5" x14ac:dyDescent="0.3">
      <c r="A2" t="s">
        <v>619</v>
      </c>
      <c r="B2" s="3">
        <v>0</v>
      </c>
      <c r="C2" s="3">
        <v>1.4999999999999999E-2</v>
      </c>
      <c r="D2" s="3">
        <v>2.5000000000000001E-2</v>
      </c>
      <c r="E2" s="3">
        <v>0.01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67B8C1-9AF2-4519-8079-B3832FF11B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Daily_Analysis</vt:lpstr>
      <vt:lpstr>Status_Summary</vt:lpstr>
      <vt:lpstr>ledger</vt:lpstr>
      <vt:lpstr>merchants</vt:lpstr>
      <vt:lpstr>fee_reference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shaurya jain</dc:creator>
  <cp:lastModifiedBy>shaurya jain</cp:lastModifiedBy>
  <dcterms:created xsi:type="dcterms:W3CDTF">2026-08-19T11:05:44Z</dcterms:created>
  <dcterms:modified xsi:type="dcterms:W3CDTF">2026-08-19T11:06:19Z</dcterms:modified>
</cp:coreProperties>
</file>